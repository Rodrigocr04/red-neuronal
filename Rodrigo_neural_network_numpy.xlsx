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 0 N=20" sheetId="1" r:id="rId5"/>
    <sheet state="visible" name="epoch 1 N=20" sheetId="2" r:id="rId6"/>
    <sheet state="visible" name="tensorflow validation N=20" sheetId="3" r:id="rId7"/>
    <sheet state="visible" name="Rodrigo tensorflow validation N" sheetId="4" r:id="rId8"/>
  </sheets>
  <definedNames/>
  <calcPr/>
</workbook>
</file>

<file path=xl/sharedStrings.xml><?xml version="1.0" encoding="utf-8"?>
<sst xmlns="http://schemas.openxmlformats.org/spreadsheetml/2006/main" count="293" uniqueCount="45">
  <si>
    <t>Epoch 0</t>
  </si>
  <si>
    <t>Epoch 1</t>
  </si>
  <si>
    <t>tensorflow validation</t>
  </si>
  <si>
    <t>X</t>
  </si>
  <si>
    <t>INPUT = 2</t>
  </si>
  <si>
    <t>W</t>
  </si>
  <si>
    <t>2 -&gt; 4</t>
  </si>
  <si>
    <t>z</t>
  </si>
  <si>
    <t>a</t>
  </si>
  <si>
    <t>RELU</t>
  </si>
  <si>
    <t>4 -&gt; 8</t>
  </si>
  <si>
    <t xml:space="preserve">a </t>
  </si>
  <si>
    <t>W 8 -&gt; 1</t>
  </si>
  <si>
    <t>SIGMOID</t>
  </si>
  <si>
    <t xml:space="preserve"> </t>
  </si>
  <si>
    <t>b</t>
  </si>
  <si>
    <t>W, b from epoch 0</t>
  </si>
  <si>
    <t>W, b from numpy or tensorflow</t>
  </si>
  <si>
    <t>W capa 8 -&gt; 1</t>
  </si>
  <si>
    <t>NOTA: se lee al reves en esta etapa</t>
  </si>
  <si>
    <t>Capa 0 (al reves)</t>
  </si>
  <si>
    <t>Y</t>
  </si>
  <si>
    <t>MSE</t>
  </si>
  <si>
    <t>derivada</t>
  </si>
  <si>
    <t>Delta</t>
  </si>
  <si>
    <t>W new</t>
  </si>
  <si>
    <t>a (last capa)</t>
  </si>
  <si>
    <t>lr</t>
  </si>
  <si>
    <t>20 x 1</t>
  </si>
  <si>
    <t>1X8</t>
  </si>
  <si>
    <t>b new</t>
  </si>
  <si>
    <t>Wtemp -&gt; W tranpose</t>
  </si>
  <si>
    <t>Delta @ W transp</t>
  </si>
  <si>
    <t>a (relu derivada)</t>
  </si>
  <si>
    <t xml:space="preserve">Delta average </t>
  </si>
  <si>
    <t>a transpose</t>
  </si>
  <si>
    <t>W transpose</t>
  </si>
  <si>
    <t xml:space="preserve">lr </t>
  </si>
  <si>
    <t>Wtemp</t>
  </si>
  <si>
    <t>Delta @ Wtemp</t>
  </si>
  <si>
    <t>derivada relu (a)</t>
  </si>
  <si>
    <t>Delta Average</t>
  </si>
  <si>
    <t>a ( X )</t>
  </si>
  <si>
    <t>a (X) transpose</t>
  </si>
  <si>
    <t>a transpose @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</si>
</sst>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1.0"/>
      <color rgb="FF212121"/>
      <name val="Arial"/>
    </font>
    <font>
      <sz val="11.0"/>
      <color rgb="FFFFFFFF"/>
      <name val="Arial"/>
    </font>
    <font>
      <sz val="12.0"/>
      <color rgb="FF000000"/>
      <name val="Arial"/>
    </font>
    <font>
      <sz val="10.0"/>
      <color rgb="FFFFFFFF"/>
      <name val="Arial"/>
      <scheme val="minor"/>
    </font>
    <font>
      <sz val="10.0"/>
      <color rgb="FFFFFFFF"/>
      <name val="Arial"/>
    </font>
    <font>
      <sz val="10.0"/>
      <color rgb="FFFFFFFF"/>
      <name val="&quot;Google Sans&quot;"/>
    </font>
    <font>
      <sz val="9.0"/>
      <color rgb="FFFFFFFF"/>
      <name val="&quot;Google Sans Mono&quot;"/>
    </font>
    <font>
      <sz val="9.0"/>
      <color rgb="FF000000"/>
      <name val="&quot;Google Sans Mono&quot;"/>
    </font>
    <font>
      <b/>
      <sz val="9.0"/>
      <color rgb="FF000000"/>
      <name val="&quot;Google Sans Mono&quot;"/>
    </font>
    <font>
      <b/>
      <sz val="9.0"/>
      <color rgb="FFFFFFFF"/>
      <name val="&quot;Google Sans Mono&quot;"/>
    </font>
    <font>
      <sz val="12.0"/>
      <color rgb="FF000000"/>
      <name val="&quot;Google Sans&quot;"/>
    </font>
    <font>
      <sz val="12.0"/>
      <color rgb="FF000000"/>
      <name val="Monospace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&quot;Google Sans&quot;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1C4587"/>
        <bgColor rgb="FF1C458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5" fontId="6" numFmtId="0" xfId="0" applyAlignment="1" applyFill="1" applyFont="1">
      <alignment readingOrder="0"/>
    </xf>
    <xf borderId="0" fillId="2" fontId="1" numFmtId="0" xfId="0" applyFill="1" applyFont="1"/>
    <xf borderId="0" fillId="0" fontId="5" numFmtId="0" xfId="0" applyFont="1"/>
    <xf borderId="0" fillId="5" fontId="6" numFmtId="3" xfId="0" applyAlignment="1" applyFill="1" applyFont="1" applyNumberFormat="1">
      <alignment readingOrder="0"/>
    </xf>
    <xf borderId="0" fillId="6" fontId="7" numFmtId="4" xfId="0" applyAlignment="1" applyFill="1" applyFont="1" applyNumberFormat="1">
      <alignment readingOrder="0"/>
    </xf>
    <xf borderId="0" fillId="6" fontId="7" numFmtId="4" xfId="0" applyAlignment="1" applyFill="1" applyFont="1" applyNumberFormat="1">
      <alignment horizontal="left" readingOrder="0"/>
    </xf>
    <xf borderId="1" fillId="0" fontId="8" numFmtId="4" xfId="0" applyAlignment="1" applyBorder="1" applyFont="1" applyNumberFormat="1">
      <alignment readingOrder="0"/>
    </xf>
    <xf borderId="1" fillId="0" fontId="8" numFmtId="4" xfId="0" applyAlignment="1" applyBorder="1" applyFont="1" applyNumberFormat="1">
      <alignment horizontal="left" readingOrder="0"/>
    </xf>
    <xf borderId="2" fillId="3" fontId="9" numFmtId="11" xfId="0" applyAlignment="1" applyBorder="1" applyFill="1" applyFont="1" applyNumberFormat="1">
      <alignment readingOrder="0"/>
    </xf>
    <xf borderId="2" fillId="3" fontId="10" numFmtId="11" xfId="0" applyAlignment="1" applyBorder="1" applyFill="1" applyFont="1" applyNumberFormat="1">
      <alignment readingOrder="0"/>
    </xf>
    <xf borderId="0" fillId="7" fontId="1" numFmtId="0" xfId="0" applyFill="1" applyFont="1"/>
    <xf borderId="1" fillId="7" fontId="1" numFmtId="11" xfId="0" applyBorder="1" applyFill="1" applyFont="1" applyNumberFormat="1"/>
    <xf borderId="1" fillId="7" fontId="1" numFmtId="0" xfId="0" applyBorder="1" applyFill="1" applyFont="1"/>
    <xf borderId="1" fillId="4" fontId="9" numFmtId="0" xfId="0" applyAlignment="1" applyBorder="1" applyFill="1" applyFont="1">
      <alignment readingOrder="0"/>
    </xf>
    <xf borderId="1" fillId="8" fontId="8" numFmtId="4" xfId="0" applyAlignment="1" applyBorder="1" applyFill="1" applyFont="1" applyNumberFormat="1">
      <alignment horizontal="right" readingOrder="0"/>
    </xf>
    <xf borderId="1" fillId="4" fontId="11" numFmtId="0" xfId="0" applyAlignment="1" applyBorder="1" applyFill="1" applyFont="1">
      <alignment readingOrder="0"/>
    </xf>
    <xf borderId="0" fillId="7" fontId="12" numFmtId="0" xfId="0" applyAlignment="1" applyFill="1" applyFont="1">
      <alignment horizontal="left"/>
    </xf>
    <xf borderId="0" fillId="5" fontId="13" numFmtId="0" xfId="0" applyAlignment="1" applyFill="1" applyFont="1">
      <alignment horizontal="left" readingOrder="0"/>
    </xf>
    <xf borderId="2" fillId="7" fontId="1" numFmtId="11" xfId="0" applyBorder="1" applyFill="1" applyFont="1" applyNumberFormat="1"/>
    <xf borderId="0" fillId="5" fontId="14" numFmtId="0" xfId="0" applyAlignment="1" applyFill="1" applyFont="1">
      <alignment horizontal="left"/>
    </xf>
    <xf borderId="0" fillId="0" fontId="2" numFmtId="0" xfId="0" applyFont="1"/>
    <xf borderId="2" fillId="7" fontId="1" numFmtId="0" xfId="0" applyBorder="1" applyFill="1" applyFont="1"/>
    <xf borderId="0" fillId="7" fontId="15" numFmtId="0" xfId="0" applyAlignment="1" applyFill="1" applyFont="1">
      <alignment horizontal="left"/>
    </xf>
    <xf borderId="0" fillId="5" fontId="13" numFmtId="0" xfId="0" applyAlignment="1" applyFill="1" applyFont="1">
      <alignment horizontal="left"/>
    </xf>
    <xf borderId="1" fillId="8" fontId="8" numFmtId="4" xfId="0" applyAlignment="1" applyBorder="1" applyFill="1" applyFont="1" applyNumberFormat="1">
      <alignment readingOrder="0"/>
    </xf>
    <xf borderId="1" fillId="8" fontId="16" numFmtId="4" xfId="0" applyAlignment="1" applyBorder="1" applyFill="1" applyFont="1" applyNumberFormat="1">
      <alignment readingOrder="0"/>
    </xf>
    <xf borderId="1" fillId="0" fontId="2" numFmtId="11" xfId="0" applyBorder="1" applyFont="1" applyNumberFormat="1"/>
    <xf borderId="1" fillId="0" fontId="2" numFmtId="0" xfId="0" applyBorder="1" applyFont="1"/>
    <xf borderId="1" fillId="4" fontId="10" numFmtId="0" xfId="0" applyAlignment="1" applyBorder="1" applyFill="1" applyFont="1">
      <alignment horizontal="left" readingOrder="0"/>
    </xf>
    <xf borderId="2" fillId="0" fontId="2" numFmtId="11" xfId="0" applyBorder="1" applyFont="1" applyNumberFormat="1"/>
    <xf borderId="2" fillId="0" fontId="2" numFmtId="0" xfId="0" applyBorder="1" applyFont="1"/>
    <xf borderId="1" fillId="8" fontId="17" numFmtId="4" xfId="0" applyAlignment="1" applyBorder="1" applyFill="1" applyFont="1" applyNumberFormat="1">
      <alignment readingOrder="0"/>
    </xf>
    <xf borderId="0" fillId="5" fontId="18" numFmtId="4" xfId="0" applyAlignment="1" applyFill="1" applyFont="1" applyNumberFormat="1">
      <alignment readingOrder="0"/>
    </xf>
    <xf borderId="0" fillId="5" fontId="19" numFmtId="4" xfId="0" applyAlignment="1" applyFill="1" applyFont="1" applyNumberFormat="1">
      <alignment readingOrder="0"/>
    </xf>
    <xf borderId="0" fillId="2" fontId="7" numFmtId="0" xfId="0" applyAlignment="1" applyFill="1" applyFont="1">
      <alignment readingOrder="0"/>
    </xf>
    <xf borderId="0" fillId="5" fontId="18" numFmtId="4" xfId="0" applyAlignment="1" applyFill="1" applyFont="1" applyNumberFormat="1">
      <alignment horizontal="left" readingOrder="0"/>
    </xf>
    <xf borderId="1" fillId="8" fontId="16" numFmtId="4" xfId="0" applyAlignment="1" applyBorder="1" applyFill="1" applyFont="1" applyNumberFormat="1">
      <alignment horizontal="right" readingOrder="0"/>
    </xf>
    <xf borderId="0" fillId="5" fontId="6" numFmtId="11" xfId="0" applyAlignment="1" applyFill="1" applyFont="1" applyNumberFormat="1">
      <alignment readingOrder="0"/>
    </xf>
    <xf borderId="0" fillId="5" fontId="20" numFmtId="4" xfId="0" applyAlignment="1" applyFill="1" applyFont="1" applyNumberFormat="1">
      <alignment readingOrder="0"/>
    </xf>
    <xf borderId="1" fillId="3" fontId="1" numFmtId="11" xfId="0" applyAlignment="1" applyBorder="1" applyFill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0" xfId="0" applyFill="1" applyFont="1"/>
    <xf borderId="0" fillId="10" fontId="11" numFmtId="11" xfId="0" applyAlignment="1" applyFill="1" applyFont="1" applyNumberFormat="1">
      <alignment readingOrder="0"/>
    </xf>
    <xf borderId="0" fillId="10" fontId="10" numFmtId="0" xfId="0" applyAlignment="1" applyFill="1" applyFont="1">
      <alignment horizontal="right" readingOrder="0"/>
    </xf>
    <xf borderId="0" fillId="9" fontId="21" numFmtId="0" xfId="0" applyAlignment="1" applyFill="1" applyFont="1">
      <alignment readingOrder="0"/>
    </xf>
    <xf borderId="0" fillId="9" fontId="21" numFmtId="0" xfId="0" applyFill="1" applyFont="1"/>
    <xf borderId="1" fillId="8" fontId="8" numFmtId="4" xfId="0" applyAlignment="1" applyBorder="1" applyFill="1" applyFont="1" applyNumberFormat="1">
      <alignment horizontal="left" readingOrder="0"/>
    </xf>
    <xf borderId="0" fillId="11" fontId="18" numFmtId="0" xfId="0" applyAlignment="1" applyFill="1" applyFont="1">
      <alignment readingOrder="0"/>
    </xf>
    <xf borderId="0" fillId="12" fontId="1" numFmtId="0" xfId="0" applyFill="1" applyFont="1"/>
    <xf borderId="0" fillId="5" fontId="1" numFmtId="0" xfId="0" applyAlignment="1" applyFill="1" applyFont="1">
      <alignment readingOrder="0"/>
    </xf>
    <xf borderId="1" fillId="13" fontId="8" numFmtId="4" xfId="0" applyAlignment="1" applyBorder="1" applyFill="1" applyFont="1" applyNumberFormat="1">
      <alignment horizontal="right" readingOrder="0"/>
    </xf>
    <xf borderId="0" fillId="5" fontId="1" numFmtId="0" xfId="0" applyFill="1" applyFont="1"/>
    <xf borderId="0" fillId="5" fontId="2" numFmtId="0" xfId="0" applyFill="1" applyFont="1"/>
    <xf borderId="0" fillId="5" fontId="6" numFmtId="4" xfId="0" applyAlignment="1" applyFill="1" applyFont="1" applyNumberFormat="1">
      <alignment readingOrder="0"/>
    </xf>
    <xf borderId="0" fillId="14" fontId="3" numFmtId="0" xfId="0" applyAlignment="1" applyFill="1" applyFont="1">
      <alignment readingOrder="0"/>
    </xf>
    <xf borderId="0" fillId="14" fontId="3" numFmtId="0" xfId="0" applyFill="1" applyFont="1"/>
    <xf borderId="0" fillId="3" fontId="3" numFmtId="0" xfId="0" applyFill="1" applyFont="1"/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5.25"/>
    <col customWidth="1" min="9" max="9" width="2.63"/>
    <col customWidth="1" min="10" max="10" width="5.88"/>
    <col customWidth="1" min="11" max="11" width="5.75"/>
    <col customWidth="1" min="12" max="12" width="5.63"/>
    <col customWidth="1" min="13" max="13" width="4.63"/>
    <col customWidth="1" min="14" max="14" width="2.38"/>
    <col customWidth="1" min="15" max="15" width="9.25"/>
    <col customWidth="1" min="16" max="16" width="6.88"/>
    <col customWidth="1" min="17" max="18" width="5.13"/>
    <col customWidth="1" min="19" max="19" width="2.75"/>
    <col customWidth="1" min="20" max="20" width="5.0"/>
    <col customWidth="1" min="21" max="21" width="6.13"/>
    <col customWidth="1" min="22" max="22" width="4.5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7.13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11.38"/>
    <col customWidth="1" min="49" max="49" width="9.75"/>
    <col customWidth="1" min="50" max="50" width="11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-2.848</v>
      </c>
      <c r="C3" s="19">
        <v>5.975</v>
      </c>
      <c r="E3" s="4">
        <v>0.75</v>
      </c>
      <c r="F3" s="4">
        <v>0.75</v>
      </c>
      <c r="G3" s="4">
        <v>0.75</v>
      </c>
      <c r="H3" s="4">
        <v>0.75</v>
      </c>
      <c r="J3" s="24">
        <f t="shared" ref="J3:M3" si="1">($B3*E$3+$C3*E$4)+E$8</f>
        <v>2.59525</v>
      </c>
      <c r="K3" s="24">
        <f t="shared" si="1"/>
        <v>2.59525</v>
      </c>
      <c r="L3" s="24">
        <f t="shared" si="1"/>
        <v>2.59525</v>
      </c>
      <c r="M3" s="24">
        <f t="shared" si="1"/>
        <v>2.59525</v>
      </c>
      <c r="O3" s="24">
        <f t="shared" ref="O3:R3" si="2">max(0,J3)</f>
        <v>2.59525</v>
      </c>
      <c r="P3" s="24">
        <f t="shared" si="2"/>
        <v>2.59525</v>
      </c>
      <c r="Q3" s="24">
        <f t="shared" si="2"/>
        <v>2.59525</v>
      </c>
      <c r="R3" s="24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4">
        <f t="shared" ref="AC3:AJ3" si="3">($O3*T$3+$P3*T$4+$Q3*T$5+$R3*T$6)+T$9</f>
        <v>8.03575</v>
      </c>
      <c r="AD3" s="24">
        <f t="shared" si="3"/>
        <v>8.03575</v>
      </c>
      <c r="AE3" s="24">
        <f t="shared" si="3"/>
        <v>8.03575</v>
      </c>
      <c r="AF3" s="24">
        <f t="shared" si="3"/>
        <v>8.03575</v>
      </c>
      <c r="AG3" s="24">
        <f t="shared" si="3"/>
        <v>8.03575</v>
      </c>
      <c r="AH3" s="24">
        <f t="shared" si="3"/>
        <v>8.03575</v>
      </c>
      <c r="AI3" s="24">
        <f t="shared" si="3"/>
        <v>8.03575</v>
      </c>
      <c r="AJ3" s="24">
        <f t="shared" si="3"/>
        <v>8.03575</v>
      </c>
      <c r="AL3" s="30">
        <f t="shared" ref="AL3:AS3" si="4">max(0,AC3)</f>
        <v>8.03575</v>
      </c>
      <c r="AM3" s="30">
        <f t="shared" si="4"/>
        <v>8.03575</v>
      </c>
      <c r="AN3" s="30">
        <f t="shared" si="4"/>
        <v>8.03575</v>
      </c>
      <c r="AO3" s="30">
        <f t="shared" si="4"/>
        <v>8.03575</v>
      </c>
      <c r="AP3" s="30">
        <f t="shared" si="4"/>
        <v>8.03575</v>
      </c>
      <c r="AQ3" s="30">
        <f t="shared" si="4"/>
        <v>8.03575</v>
      </c>
      <c r="AR3" s="30">
        <f t="shared" si="4"/>
        <v>8.03575</v>
      </c>
      <c r="AS3" s="30">
        <f t="shared" si="4"/>
        <v>8.03575</v>
      </c>
      <c r="AT3" s="31" t="s">
        <v>14</v>
      </c>
      <c r="AU3" s="1">
        <v>0.75</v>
      </c>
      <c r="AW3" s="33">
        <f t="shared" ref="AW3:AW22" si="9">($AL3*AU$3+$AM3*AU$4+$AN3*AU$5+$AO3*AU$6+$AP3*AU$7+$AQ3*AU$8+$AR3*AU$9+$AS3*AU$10)+AU$13</f>
        <v>48.4645</v>
      </c>
      <c r="AY3" s="34">
        <f t="shared" ref="AY3:AY22" si="10">1/(1+EXP(-AW3))
</f>
        <v>1</v>
      </c>
    </row>
    <row r="4">
      <c r="A4" s="17">
        <f t="shared" ref="A4:A22" si="11">A3+1</f>
        <v>2</v>
      </c>
      <c r="B4" s="18">
        <v>-10.429</v>
      </c>
      <c r="C4" s="19">
        <v>-8.024</v>
      </c>
      <c r="E4" s="4">
        <v>0.75</v>
      </c>
      <c r="F4" s="4">
        <v>0.75</v>
      </c>
      <c r="G4" s="4">
        <v>0.75</v>
      </c>
      <c r="H4" s="4">
        <v>0.75</v>
      </c>
      <c r="J4" s="34">
        <f t="shared" ref="J4:M4" si="5">($B4*E$3+$C4*E$4)+E$8</f>
        <v>-13.58975</v>
      </c>
      <c r="K4" s="34">
        <f t="shared" si="5"/>
        <v>-13.58975</v>
      </c>
      <c r="L4" s="34">
        <f t="shared" si="5"/>
        <v>-13.58975</v>
      </c>
      <c r="M4" s="34">
        <f t="shared" si="5"/>
        <v>-13.58975</v>
      </c>
      <c r="O4" s="34">
        <f t="shared" ref="O4:R4" si="6">max(0,J4)</f>
        <v>0</v>
      </c>
      <c r="P4" s="34">
        <f t="shared" si="6"/>
        <v>0</v>
      </c>
      <c r="Q4" s="34">
        <f t="shared" si="6"/>
        <v>0</v>
      </c>
      <c r="R4" s="34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4">
        <f t="shared" ref="AC4:AJ4" si="7">($O4*T$3+$P4*T$4+$Q4*T$5+$R4*T$6)+T$9</f>
        <v>0.25</v>
      </c>
      <c r="AD4" s="34">
        <f t="shared" si="7"/>
        <v>0.25</v>
      </c>
      <c r="AE4" s="34">
        <f t="shared" si="7"/>
        <v>0.25</v>
      </c>
      <c r="AF4" s="34">
        <f t="shared" si="7"/>
        <v>0.25</v>
      </c>
      <c r="AG4" s="34">
        <f t="shared" si="7"/>
        <v>0.25</v>
      </c>
      <c r="AH4" s="34">
        <f t="shared" si="7"/>
        <v>0.25</v>
      </c>
      <c r="AI4" s="34">
        <f t="shared" si="7"/>
        <v>0.25</v>
      </c>
      <c r="AJ4" s="34">
        <f t="shared" si="7"/>
        <v>0.25</v>
      </c>
      <c r="AL4" s="37">
        <f t="shared" ref="AL4:AS4" si="8">max(0,AC4)</f>
        <v>0.25</v>
      </c>
      <c r="AM4" s="37">
        <f t="shared" si="8"/>
        <v>0.25</v>
      </c>
      <c r="AN4" s="37">
        <f t="shared" si="8"/>
        <v>0.25</v>
      </c>
      <c r="AO4" s="37">
        <f t="shared" si="8"/>
        <v>0.25</v>
      </c>
      <c r="AP4" s="37">
        <f t="shared" si="8"/>
        <v>0.25</v>
      </c>
      <c r="AQ4" s="37">
        <f t="shared" si="8"/>
        <v>0.25</v>
      </c>
      <c r="AR4" s="37">
        <f t="shared" si="8"/>
        <v>0.25</v>
      </c>
      <c r="AS4" s="37">
        <f t="shared" si="8"/>
        <v>0.25</v>
      </c>
      <c r="AU4" s="1">
        <v>0.75</v>
      </c>
      <c r="AW4" s="33">
        <f t="shared" si="9"/>
        <v>1.75</v>
      </c>
      <c r="AY4" s="34">
        <f t="shared" si="10"/>
        <v>0.851952802</v>
      </c>
    </row>
    <row r="5">
      <c r="A5" s="17">
        <f t="shared" si="11"/>
        <v>3</v>
      </c>
      <c r="B5" s="18">
        <v>-1.284</v>
      </c>
      <c r="C5" s="19">
        <v>2.872</v>
      </c>
      <c r="E5" s="5"/>
      <c r="F5" s="5"/>
      <c r="G5" s="5"/>
      <c r="H5" s="5"/>
      <c r="J5" s="34">
        <f t="shared" ref="J5:M5" si="12">($B5*E$3+$C5*E$4)+E$8</f>
        <v>1.441</v>
      </c>
      <c r="K5" s="34">
        <f t="shared" si="12"/>
        <v>1.441</v>
      </c>
      <c r="L5" s="34">
        <f t="shared" si="12"/>
        <v>1.441</v>
      </c>
      <c r="M5" s="34">
        <f t="shared" si="12"/>
        <v>1.441</v>
      </c>
      <c r="O5" s="34">
        <f t="shared" ref="O5:R5" si="13">max(0,J5)</f>
        <v>1.441</v>
      </c>
      <c r="P5" s="34">
        <f t="shared" si="13"/>
        <v>1.441</v>
      </c>
      <c r="Q5" s="34">
        <f t="shared" si="13"/>
        <v>1.441</v>
      </c>
      <c r="R5" s="34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4">
        <f t="shared" ref="AC5:AJ5" si="14">($O5*T$3+$P5*T$4+$Q5*T$5+$R5*T$6)+T$9</f>
        <v>4.573</v>
      </c>
      <c r="AD5" s="34">
        <f t="shared" si="14"/>
        <v>4.573</v>
      </c>
      <c r="AE5" s="34">
        <f t="shared" si="14"/>
        <v>4.573</v>
      </c>
      <c r="AF5" s="34">
        <f t="shared" si="14"/>
        <v>4.573</v>
      </c>
      <c r="AG5" s="34">
        <f t="shared" si="14"/>
        <v>4.573</v>
      </c>
      <c r="AH5" s="34">
        <f t="shared" si="14"/>
        <v>4.573</v>
      </c>
      <c r="AI5" s="34">
        <f t="shared" si="14"/>
        <v>4.573</v>
      </c>
      <c r="AJ5" s="34">
        <f t="shared" si="14"/>
        <v>4.573</v>
      </c>
      <c r="AL5" s="37">
        <f t="shared" ref="AL5:AS5" si="15">max(0,AC5)</f>
        <v>4.573</v>
      </c>
      <c r="AM5" s="37">
        <f t="shared" si="15"/>
        <v>4.573</v>
      </c>
      <c r="AN5" s="37">
        <f t="shared" si="15"/>
        <v>4.573</v>
      </c>
      <c r="AO5" s="37">
        <f t="shared" si="15"/>
        <v>4.573</v>
      </c>
      <c r="AP5" s="37">
        <f t="shared" si="15"/>
        <v>4.573</v>
      </c>
      <c r="AQ5" s="37">
        <f t="shared" si="15"/>
        <v>4.573</v>
      </c>
      <c r="AR5" s="37">
        <f t="shared" si="15"/>
        <v>4.573</v>
      </c>
      <c r="AS5" s="37">
        <f t="shared" si="15"/>
        <v>4.573</v>
      </c>
      <c r="AU5" s="1">
        <v>0.75</v>
      </c>
      <c r="AW5" s="33">
        <f t="shared" si="9"/>
        <v>27.688</v>
      </c>
      <c r="AY5" s="34">
        <f t="shared" si="10"/>
        <v>1</v>
      </c>
    </row>
    <row r="6">
      <c r="A6" s="17">
        <f t="shared" si="11"/>
        <v>4</v>
      </c>
      <c r="B6" s="18">
        <v>4.758</v>
      </c>
      <c r="C6" s="19">
        <v>5.955</v>
      </c>
      <c r="E6" s="3" t="s">
        <v>15</v>
      </c>
      <c r="F6" s="5"/>
      <c r="G6" s="5"/>
      <c r="H6" s="5"/>
      <c r="J6" s="34">
        <f t="shared" ref="J6:M6" si="16">($B6*E$3+$C6*E$4)+E$8</f>
        <v>8.28475</v>
      </c>
      <c r="K6" s="34">
        <f t="shared" si="16"/>
        <v>8.28475</v>
      </c>
      <c r="L6" s="34">
        <f t="shared" si="16"/>
        <v>8.28475</v>
      </c>
      <c r="M6" s="34">
        <f t="shared" si="16"/>
        <v>8.28475</v>
      </c>
      <c r="O6" s="34">
        <f t="shared" ref="O6:R6" si="17">max(0,J6)</f>
        <v>8.28475</v>
      </c>
      <c r="P6" s="34">
        <f t="shared" si="17"/>
        <v>8.28475</v>
      </c>
      <c r="Q6" s="34">
        <f t="shared" si="17"/>
        <v>8.28475</v>
      </c>
      <c r="R6" s="34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4">
        <f t="shared" ref="AC6:AJ6" si="18">($O6*T$3+$P6*T$4+$Q6*T$5+$R6*T$6)+T$9</f>
        <v>25.10425</v>
      </c>
      <c r="AD6" s="34">
        <f t="shared" si="18"/>
        <v>25.10425</v>
      </c>
      <c r="AE6" s="34">
        <f t="shared" si="18"/>
        <v>25.10425</v>
      </c>
      <c r="AF6" s="34">
        <f t="shared" si="18"/>
        <v>25.10425</v>
      </c>
      <c r="AG6" s="34">
        <f t="shared" si="18"/>
        <v>25.10425</v>
      </c>
      <c r="AH6" s="34">
        <f t="shared" si="18"/>
        <v>25.10425</v>
      </c>
      <c r="AI6" s="34">
        <f t="shared" si="18"/>
        <v>25.10425</v>
      </c>
      <c r="AJ6" s="34">
        <f t="shared" si="18"/>
        <v>25.10425</v>
      </c>
      <c r="AL6" s="37">
        <f t="shared" ref="AL6:AS6" si="19">max(0,AC6)</f>
        <v>25.10425</v>
      </c>
      <c r="AM6" s="37">
        <f t="shared" si="19"/>
        <v>25.10425</v>
      </c>
      <c r="AN6" s="37">
        <f t="shared" si="19"/>
        <v>25.10425</v>
      </c>
      <c r="AO6" s="37">
        <f t="shared" si="19"/>
        <v>25.10425</v>
      </c>
      <c r="AP6" s="37">
        <f t="shared" si="19"/>
        <v>25.10425</v>
      </c>
      <c r="AQ6" s="37">
        <f t="shared" si="19"/>
        <v>25.10425</v>
      </c>
      <c r="AR6" s="37">
        <f t="shared" si="19"/>
        <v>25.10425</v>
      </c>
      <c r="AS6" s="37">
        <f t="shared" si="19"/>
        <v>25.10425</v>
      </c>
      <c r="AU6" s="1">
        <v>0.75</v>
      </c>
      <c r="AW6" s="33">
        <f t="shared" si="9"/>
        <v>150.8755</v>
      </c>
      <c r="AY6" s="34">
        <f t="shared" si="10"/>
        <v>1</v>
      </c>
    </row>
    <row r="7">
      <c r="A7" s="17">
        <f t="shared" si="11"/>
        <v>5</v>
      </c>
      <c r="B7" s="46">
        <v>-3.938</v>
      </c>
      <c r="C7" s="47">
        <v>-5.78</v>
      </c>
      <c r="E7" s="5"/>
      <c r="F7" s="5"/>
      <c r="G7" s="5"/>
      <c r="H7" s="5"/>
      <c r="J7" s="34">
        <f t="shared" ref="J7:M7" si="20">($B7*E$3+$C7*E$4)+E$8</f>
        <v>-7.0385</v>
      </c>
      <c r="K7" s="34">
        <f t="shared" si="20"/>
        <v>-7.0385</v>
      </c>
      <c r="L7" s="34">
        <f t="shared" si="20"/>
        <v>-7.0385</v>
      </c>
      <c r="M7" s="34">
        <f t="shared" si="20"/>
        <v>-7.0385</v>
      </c>
      <c r="O7" s="34">
        <f t="shared" ref="O7:R7" si="21">max(0,J7)</f>
        <v>0</v>
      </c>
      <c r="P7" s="34">
        <f t="shared" si="21"/>
        <v>0</v>
      </c>
      <c r="Q7" s="34">
        <f t="shared" si="21"/>
        <v>0</v>
      </c>
      <c r="R7" s="34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4">
        <f t="shared" ref="AC7:AJ7" si="22">($O7*T$3+$P7*T$4+$Q7*T$5+$R7*T$6)+T$9</f>
        <v>0.25</v>
      </c>
      <c r="AD7" s="34">
        <f t="shared" si="22"/>
        <v>0.25</v>
      </c>
      <c r="AE7" s="34">
        <f t="shared" si="22"/>
        <v>0.25</v>
      </c>
      <c r="AF7" s="34">
        <f t="shared" si="22"/>
        <v>0.25</v>
      </c>
      <c r="AG7" s="34">
        <f t="shared" si="22"/>
        <v>0.25</v>
      </c>
      <c r="AH7" s="34">
        <f t="shared" si="22"/>
        <v>0.25</v>
      </c>
      <c r="AI7" s="34">
        <f t="shared" si="22"/>
        <v>0.25</v>
      </c>
      <c r="AJ7" s="34">
        <f t="shared" si="22"/>
        <v>0.25</v>
      </c>
      <c r="AL7" s="37">
        <f t="shared" ref="AL7:AS7" si="23">max(0,AC7)</f>
        <v>0.25</v>
      </c>
      <c r="AM7" s="37">
        <f t="shared" si="23"/>
        <v>0.25</v>
      </c>
      <c r="AN7" s="37">
        <f t="shared" si="23"/>
        <v>0.25</v>
      </c>
      <c r="AO7" s="37">
        <f t="shared" si="23"/>
        <v>0.25</v>
      </c>
      <c r="AP7" s="37">
        <f t="shared" si="23"/>
        <v>0.25</v>
      </c>
      <c r="AQ7" s="37">
        <f t="shared" si="23"/>
        <v>0.25</v>
      </c>
      <c r="AR7" s="37">
        <f t="shared" si="23"/>
        <v>0.25</v>
      </c>
      <c r="AS7" s="37">
        <f t="shared" si="23"/>
        <v>0.25</v>
      </c>
      <c r="AU7" s="1">
        <v>0.75</v>
      </c>
      <c r="AW7" s="33">
        <f t="shared" si="9"/>
        <v>1.75</v>
      </c>
      <c r="AY7" s="34">
        <f t="shared" si="10"/>
        <v>0.851952802</v>
      </c>
    </row>
    <row r="8">
      <c r="A8" s="17">
        <f t="shared" si="11"/>
        <v>6</v>
      </c>
      <c r="B8" s="46">
        <v>8.525</v>
      </c>
      <c r="C8" s="49">
        <v>17.866</v>
      </c>
      <c r="E8" s="4">
        <v>0.25</v>
      </c>
      <c r="F8" s="4">
        <v>0.25</v>
      </c>
      <c r="G8" s="4">
        <v>0.25</v>
      </c>
      <c r="H8" s="4">
        <v>0.25</v>
      </c>
      <c r="J8" s="34">
        <f t="shared" ref="J8:M8" si="24">($B8*E$3+$C8*E$4)+E$8</f>
        <v>20.04325</v>
      </c>
      <c r="K8" s="34">
        <f t="shared" si="24"/>
        <v>20.04325</v>
      </c>
      <c r="L8" s="34">
        <f t="shared" si="24"/>
        <v>20.04325</v>
      </c>
      <c r="M8" s="34">
        <f t="shared" si="24"/>
        <v>20.04325</v>
      </c>
      <c r="O8" s="34">
        <f t="shared" ref="O8:R8" si="25">max(0,J8)</f>
        <v>20.04325</v>
      </c>
      <c r="P8" s="34">
        <f t="shared" si="25"/>
        <v>20.04325</v>
      </c>
      <c r="Q8" s="34">
        <f t="shared" si="25"/>
        <v>20.04325</v>
      </c>
      <c r="R8" s="34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4">
        <f t="shared" ref="AC8:AJ8" si="26">($O8*T$3+$P8*T$4+$Q8*T$5+$R8*T$6)+T$9</f>
        <v>60.37975</v>
      </c>
      <c r="AD8" s="34">
        <f t="shared" si="26"/>
        <v>60.37975</v>
      </c>
      <c r="AE8" s="34">
        <f t="shared" si="26"/>
        <v>60.37975</v>
      </c>
      <c r="AF8" s="34">
        <f t="shared" si="26"/>
        <v>60.37975</v>
      </c>
      <c r="AG8" s="34">
        <f t="shared" si="26"/>
        <v>60.37975</v>
      </c>
      <c r="AH8" s="34">
        <f t="shared" si="26"/>
        <v>60.37975</v>
      </c>
      <c r="AI8" s="34">
        <f t="shared" si="26"/>
        <v>60.37975</v>
      </c>
      <c r="AJ8" s="34">
        <f t="shared" si="26"/>
        <v>60.37975</v>
      </c>
      <c r="AL8" s="37">
        <f t="shared" ref="AL8:AS8" si="27">max(0,AC8)</f>
        <v>60.37975</v>
      </c>
      <c r="AM8" s="37">
        <f t="shared" si="27"/>
        <v>60.37975</v>
      </c>
      <c r="AN8" s="37">
        <f t="shared" si="27"/>
        <v>60.37975</v>
      </c>
      <c r="AO8" s="37">
        <f t="shared" si="27"/>
        <v>60.37975</v>
      </c>
      <c r="AP8" s="37">
        <f t="shared" si="27"/>
        <v>60.37975</v>
      </c>
      <c r="AQ8" s="37">
        <f t="shared" si="27"/>
        <v>60.37975</v>
      </c>
      <c r="AR8" s="37">
        <f t="shared" si="27"/>
        <v>60.37975</v>
      </c>
      <c r="AS8" s="37">
        <f t="shared" si="27"/>
        <v>60.37975</v>
      </c>
      <c r="AU8" s="1">
        <v>0.75</v>
      </c>
      <c r="AW8" s="33">
        <f t="shared" si="9"/>
        <v>362.5285</v>
      </c>
      <c r="AY8" s="34">
        <f t="shared" si="10"/>
        <v>1</v>
      </c>
    </row>
    <row r="9">
      <c r="A9" s="17">
        <f t="shared" si="11"/>
        <v>7</v>
      </c>
      <c r="B9" s="46">
        <v>-13.715</v>
      </c>
      <c r="C9" s="52">
        <v>4.789</v>
      </c>
      <c r="J9" s="34">
        <f t="shared" ref="J9:M9" si="28">($B9*E$3+$C9*E$4)+E$8</f>
        <v>-6.4445</v>
      </c>
      <c r="K9" s="34">
        <f t="shared" si="28"/>
        <v>-6.4445</v>
      </c>
      <c r="L9" s="34">
        <f t="shared" si="28"/>
        <v>-6.4445</v>
      </c>
      <c r="M9" s="34">
        <f t="shared" si="28"/>
        <v>-6.4445</v>
      </c>
      <c r="O9" s="34">
        <f t="shared" ref="O9:R9" si="29">max(0,J9)</f>
        <v>0</v>
      </c>
      <c r="P9" s="34">
        <f t="shared" si="29"/>
        <v>0</v>
      </c>
      <c r="Q9" s="34">
        <f t="shared" si="29"/>
        <v>0</v>
      </c>
      <c r="R9" s="34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4">
        <f t="shared" ref="AC9:AJ9" si="30">($O9*T$3+$P9*T$4+$Q9*T$5+$R9*T$6)+T$9</f>
        <v>0.25</v>
      </c>
      <c r="AD9" s="34">
        <f t="shared" si="30"/>
        <v>0.25</v>
      </c>
      <c r="AE9" s="34">
        <f t="shared" si="30"/>
        <v>0.25</v>
      </c>
      <c r="AF9" s="34">
        <f t="shared" si="30"/>
        <v>0.25</v>
      </c>
      <c r="AG9" s="34">
        <f t="shared" si="30"/>
        <v>0.25</v>
      </c>
      <c r="AH9" s="34">
        <f t="shared" si="30"/>
        <v>0.25</v>
      </c>
      <c r="AI9" s="34">
        <f t="shared" si="30"/>
        <v>0.25</v>
      </c>
      <c r="AJ9" s="34">
        <f t="shared" si="30"/>
        <v>0.25</v>
      </c>
      <c r="AL9" s="37">
        <f t="shared" ref="AL9:AS9" si="31">max(0,AC9)</f>
        <v>0.25</v>
      </c>
      <c r="AM9" s="37">
        <f t="shared" si="31"/>
        <v>0.25</v>
      </c>
      <c r="AN9" s="37">
        <f t="shared" si="31"/>
        <v>0.25</v>
      </c>
      <c r="AO9" s="37">
        <f t="shared" si="31"/>
        <v>0.25</v>
      </c>
      <c r="AP9" s="37">
        <f t="shared" si="31"/>
        <v>0.25</v>
      </c>
      <c r="AQ9" s="37">
        <f t="shared" si="31"/>
        <v>0.25</v>
      </c>
      <c r="AR9" s="37">
        <f t="shared" si="31"/>
        <v>0.25</v>
      </c>
      <c r="AS9" s="37">
        <f t="shared" si="31"/>
        <v>0.25</v>
      </c>
      <c r="AU9" s="1">
        <v>0.75</v>
      </c>
      <c r="AW9" s="33">
        <f t="shared" si="9"/>
        <v>1.75</v>
      </c>
      <c r="AY9" s="34">
        <f t="shared" si="10"/>
        <v>0.851952802</v>
      </c>
    </row>
    <row r="10">
      <c r="A10" s="17">
        <f t="shared" si="11"/>
        <v>8</v>
      </c>
      <c r="B10" s="46">
        <v>-3.19</v>
      </c>
      <c r="C10" s="49">
        <v>13.309</v>
      </c>
      <c r="J10" s="34">
        <f t="shared" ref="J10:M10" si="32">($B10*E$3+$C10*E$4)+E$8</f>
        <v>7.83925</v>
      </c>
      <c r="K10" s="34">
        <f t="shared" si="32"/>
        <v>7.83925</v>
      </c>
      <c r="L10" s="34">
        <f t="shared" si="32"/>
        <v>7.83925</v>
      </c>
      <c r="M10" s="34">
        <f t="shared" si="32"/>
        <v>7.83925</v>
      </c>
      <c r="O10" s="34">
        <f t="shared" ref="O10:R10" si="33">max(0,J10)</f>
        <v>7.83925</v>
      </c>
      <c r="P10" s="34">
        <f t="shared" si="33"/>
        <v>7.83925</v>
      </c>
      <c r="Q10" s="34">
        <f t="shared" si="33"/>
        <v>7.83925</v>
      </c>
      <c r="R10" s="34">
        <f t="shared" si="33"/>
        <v>7.83925</v>
      </c>
      <c r="AC10" s="34">
        <f t="shared" ref="AC10:AJ10" si="34">($O10*T$3+$P10*T$4+$Q10*T$5+$R10*T$6)+T$9</f>
        <v>23.76775</v>
      </c>
      <c r="AD10" s="34">
        <f t="shared" si="34"/>
        <v>23.76775</v>
      </c>
      <c r="AE10" s="34">
        <f t="shared" si="34"/>
        <v>23.76775</v>
      </c>
      <c r="AF10" s="34">
        <f t="shared" si="34"/>
        <v>23.76775</v>
      </c>
      <c r="AG10" s="34">
        <f t="shared" si="34"/>
        <v>23.76775</v>
      </c>
      <c r="AH10" s="34">
        <f t="shared" si="34"/>
        <v>23.76775</v>
      </c>
      <c r="AI10" s="34">
        <f t="shared" si="34"/>
        <v>23.76775</v>
      </c>
      <c r="AJ10" s="34">
        <f t="shared" si="34"/>
        <v>23.76775</v>
      </c>
      <c r="AL10" s="37">
        <f t="shared" ref="AL10:AS10" si="35">max(0,AC10)</f>
        <v>23.76775</v>
      </c>
      <c r="AM10" s="37">
        <f t="shared" si="35"/>
        <v>23.76775</v>
      </c>
      <c r="AN10" s="37">
        <f t="shared" si="35"/>
        <v>23.76775</v>
      </c>
      <c r="AO10" s="37">
        <f t="shared" si="35"/>
        <v>23.76775</v>
      </c>
      <c r="AP10" s="37">
        <f t="shared" si="35"/>
        <v>23.76775</v>
      </c>
      <c r="AQ10" s="37">
        <f t="shared" si="35"/>
        <v>23.76775</v>
      </c>
      <c r="AR10" s="37">
        <f t="shared" si="35"/>
        <v>23.76775</v>
      </c>
      <c r="AS10" s="37">
        <f t="shared" si="35"/>
        <v>23.76775</v>
      </c>
      <c r="AU10" s="1">
        <v>0.75</v>
      </c>
      <c r="AW10" s="33">
        <f t="shared" si="9"/>
        <v>142.8565</v>
      </c>
      <c r="AY10" s="34">
        <f t="shared" si="10"/>
        <v>1</v>
      </c>
    </row>
    <row r="11">
      <c r="A11" s="17">
        <f t="shared" si="11"/>
        <v>9</v>
      </c>
      <c r="B11" s="46">
        <v>3.227</v>
      </c>
      <c r="C11" s="49">
        <v>18.344</v>
      </c>
      <c r="J11" s="34">
        <f t="shared" ref="J11:M11" si="36">($B11*E$3+$C11*E$4)+E$8</f>
        <v>16.42825</v>
      </c>
      <c r="K11" s="34">
        <f t="shared" si="36"/>
        <v>16.42825</v>
      </c>
      <c r="L11" s="34">
        <f t="shared" si="36"/>
        <v>16.42825</v>
      </c>
      <c r="M11" s="34">
        <f t="shared" si="36"/>
        <v>16.42825</v>
      </c>
      <c r="O11" s="34">
        <f t="shared" ref="O11:R11" si="37">max(0,J11)</f>
        <v>16.42825</v>
      </c>
      <c r="P11" s="34">
        <f t="shared" si="37"/>
        <v>16.42825</v>
      </c>
      <c r="Q11" s="34">
        <f t="shared" si="37"/>
        <v>16.42825</v>
      </c>
      <c r="R11" s="34">
        <f t="shared" si="37"/>
        <v>16.42825</v>
      </c>
      <c r="AC11" s="34">
        <f t="shared" ref="AC11:AJ11" si="38">($O11*T$3+$P11*T$4+$Q11*T$5+$R11*T$6)+T$9</f>
        <v>49.53475</v>
      </c>
      <c r="AD11" s="34">
        <f t="shared" si="38"/>
        <v>49.53475</v>
      </c>
      <c r="AE11" s="34">
        <f t="shared" si="38"/>
        <v>49.53475</v>
      </c>
      <c r="AF11" s="34">
        <f t="shared" si="38"/>
        <v>49.53475</v>
      </c>
      <c r="AG11" s="34">
        <f t="shared" si="38"/>
        <v>49.53475</v>
      </c>
      <c r="AH11" s="34">
        <f t="shared" si="38"/>
        <v>49.53475</v>
      </c>
      <c r="AI11" s="34">
        <f t="shared" si="38"/>
        <v>49.53475</v>
      </c>
      <c r="AJ11" s="34">
        <f t="shared" si="38"/>
        <v>49.53475</v>
      </c>
      <c r="AL11" s="37">
        <f t="shared" ref="AL11:AS11" si="39">max(0,AC11)</f>
        <v>49.53475</v>
      </c>
      <c r="AM11" s="37">
        <f t="shared" si="39"/>
        <v>49.53475</v>
      </c>
      <c r="AN11" s="37">
        <f t="shared" si="39"/>
        <v>49.53475</v>
      </c>
      <c r="AO11" s="37">
        <f t="shared" si="39"/>
        <v>49.53475</v>
      </c>
      <c r="AP11" s="37">
        <f t="shared" si="39"/>
        <v>49.53475</v>
      </c>
      <c r="AQ11" s="37">
        <f t="shared" si="39"/>
        <v>49.53475</v>
      </c>
      <c r="AR11" s="37">
        <f t="shared" si="39"/>
        <v>49.53475</v>
      </c>
      <c r="AS11" s="37">
        <f t="shared" si="39"/>
        <v>49.53475</v>
      </c>
      <c r="AW11" s="33">
        <f t="shared" si="9"/>
        <v>297.4585</v>
      </c>
      <c r="AY11" s="34">
        <f t="shared" si="10"/>
        <v>1</v>
      </c>
    </row>
    <row r="12">
      <c r="A12" s="17">
        <f t="shared" si="11"/>
        <v>10</v>
      </c>
      <c r="B12" s="46">
        <v>-5.014</v>
      </c>
      <c r="C12" s="49">
        <v>-17.507</v>
      </c>
      <c r="J12" s="34">
        <f t="shared" ref="J12:M12" si="40">($B12*E$3+$C12*E$4)+E$8</f>
        <v>-16.64075</v>
      </c>
      <c r="K12" s="34">
        <f t="shared" si="40"/>
        <v>-16.64075</v>
      </c>
      <c r="L12" s="34">
        <f t="shared" si="40"/>
        <v>-16.64075</v>
      </c>
      <c r="M12" s="34">
        <f t="shared" si="40"/>
        <v>-16.64075</v>
      </c>
      <c r="O12" s="34">
        <f t="shared" ref="O12:R12" si="41">max(0,J12)</f>
        <v>0</v>
      </c>
      <c r="P12" s="34">
        <f t="shared" si="41"/>
        <v>0</v>
      </c>
      <c r="Q12" s="34">
        <f t="shared" si="41"/>
        <v>0</v>
      </c>
      <c r="R12" s="34">
        <f t="shared" si="41"/>
        <v>0</v>
      </c>
      <c r="AC12" s="34">
        <f t="shared" ref="AC12:AJ12" si="42">($O12*T$3+$P12*T$4+$Q12*T$5+$R12*T$6)+T$9</f>
        <v>0.25</v>
      </c>
      <c r="AD12" s="34">
        <f t="shared" si="42"/>
        <v>0.25</v>
      </c>
      <c r="AE12" s="34">
        <f t="shared" si="42"/>
        <v>0.25</v>
      </c>
      <c r="AF12" s="34">
        <f t="shared" si="42"/>
        <v>0.25</v>
      </c>
      <c r="AG12" s="34">
        <f t="shared" si="42"/>
        <v>0.25</v>
      </c>
      <c r="AH12" s="34">
        <f t="shared" si="42"/>
        <v>0.25</v>
      </c>
      <c r="AI12" s="34">
        <f t="shared" si="42"/>
        <v>0.25</v>
      </c>
      <c r="AJ12" s="34">
        <f t="shared" si="42"/>
        <v>0.25</v>
      </c>
      <c r="AL12" s="37">
        <f t="shared" ref="AL12:AS12" si="43">max(0,AC12)</f>
        <v>0.25</v>
      </c>
      <c r="AM12" s="37">
        <f t="shared" si="43"/>
        <v>0.25</v>
      </c>
      <c r="AN12" s="37">
        <f t="shared" si="43"/>
        <v>0.25</v>
      </c>
      <c r="AO12" s="37">
        <f t="shared" si="43"/>
        <v>0.25</v>
      </c>
      <c r="AP12" s="37">
        <f t="shared" si="43"/>
        <v>0.25</v>
      </c>
      <c r="AQ12" s="37">
        <f t="shared" si="43"/>
        <v>0.25</v>
      </c>
      <c r="AR12" s="37">
        <f t="shared" si="43"/>
        <v>0.25</v>
      </c>
      <c r="AS12" s="37">
        <f t="shared" si="43"/>
        <v>0.25</v>
      </c>
      <c r="AU12" s="11" t="s">
        <v>15</v>
      </c>
      <c r="AW12" s="33">
        <f t="shared" si="9"/>
        <v>1.75</v>
      </c>
      <c r="AY12" s="34">
        <f t="shared" si="10"/>
        <v>0.851952802</v>
      </c>
    </row>
    <row r="13">
      <c r="A13" s="17">
        <f t="shared" si="11"/>
        <v>11</v>
      </c>
      <c r="B13" s="46">
        <v>0.491</v>
      </c>
      <c r="C13" s="52">
        <v>1.897</v>
      </c>
      <c r="J13" s="34">
        <f t="shared" ref="J13:M13" si="44">($B13*E$3+$C13*E$4)+E$8</f>
        <v>2.041</v>
      </c>
      <c r="K13" s="34">
        <f t="shared" si="44"/>
        <v>2.041</v>
      </c>
      <c r="L13" s="34">
        <f t="shared" si="44"/>
        <v>2.041</v>
      </c>
      <c r="M13" s="34">
        <f t="shared" si="44"/>
        <v>2.041</v>
      </c>
      <c r="O13" s="34">
        <f t="shared" ref="O13:R13" si="45">max(0,J13)</f>
        <v>2.041</v>
      </c>
      <c r="P13" s="34">
        <f t="shared" si="45"/>
        <v>2.041</v>
      </c>
      <c r="Q13" s="34">
        <f t="shared" si="45"/>
        <v>2.041</v>
      </c>
      <c r="R13" s="34">
        <f t="shared" si="45"/>
        <v>2.041</v>
      </c>
      <c r="AC13" s="34">
        <f t="shared" ref="AC13:AJ13" si="46">($O13*T$3+$P13*T$4+$Q13*T$5+$R13*T$6)+T$9</f>
        <v>6.373</v>
      </c>
      <c r="AD13" s="34">
        <f t="shared" si="46"/>
        <v>6.373</v>
      </c>
      <c r="AE13" s="34">
        <f t="shared" si="46"/>
        <v>6.373</v>
      </c>
      <c r="AF13" s="34">
        <f t="shared" si="46"/>
        <v>6.373</v>
      </c>
      <c r="AG13" s="34">
        <f t="shared" si="46"/>
        <v>6.373</v>
      </c>
      <c r="AH13" s="34">
        <f t="shared" si="46"/>
        <v>6.373</v>
      </c>
      <c r="AI13" s="34">
        <f t="shared" si="46"/>
        <v>6.373</v>
      </c>
      <c r="AJ13" s="34">
        <f t="shared" si="46"/>
        <v>6.373</v>
      </c>
      <c r="AL13" s="37">
        <f t="shared" ref="AL13:AS13" si="47">max(0,AC13)</f>
        <v>6.373</v>
      </c>
      <c r="AM13" s="37">
        <f t="shared" si="47"/>
        <v>6.373</v>
      </c>
      <c r="AN13" s="37">
        <f t="shared" si="47"/>
        <v>6.373</v>
      </c>
      <c r="AO13" s="37">
        <f t="shared" si="47"/>
        <v>6.373</v>
      </c>
      <c r="AP13" s="37">
        <f t="shared" si="47"/>
        <v>6.373</v>
      </c>
      <c r="AQ13" s="37">
        <f t="shared" si="47"/>
        <v>6.373</v>
      </c>
      <c r="AR13" s="37">
        <f t="shared" si="47"/>
        <v>6.373</v>
      </c>
      <c r="AS13" s="37">
        <f t="shared" si="47"/>
        <v>6.373</v>
      </c>
      <c r="AU13" s="1">
        <v>0.25</v>
      </c>
      <c r="AW13" s="33">
        <f t="shared" si="9"/>
        <v>38.488</v>
      </c>
      <c r="AY13" s="34">
        <f t="shared" si="10"/>
        <v>1</v>
      </c>
    </row>
    <row r="14">
      <c r="A14" s="17">
        <f t="shared" si="11"/>
        <v>12</v>
      </c>
      <c r="B14" s="52">
        <v>-0.54</v>
      </c>
      <c r="C14" s="52">
        <v>1.12</v>
      </c>
      <c r="J14" s="34">
        <f t="shared" ref="J14:M14" si="48">($B14*E$3+$C14*E$4)+E$8</f>
        <v>0.685</v>
      </c>
      <c r="K14" s="34">
        <f t="shared" si="48"/>
        <v>0.685</v>
      </c>
      <c r="L14" s="34">
        <f t="shared" si="48"/>
        <v>0.685</v>
      </c>
      <c r="M14" s="34">
        <f t="shared" si="48"/>
        <v>0.685</v>
      </c>
      <c r="O14" s="34">
        <f t="shared" ref="O14:R14" si="49">max(0,J14)</f>
        <v>0.685</v>
      </c>
      <c r="P14" s="34">
        <f t="shared" si="49"/>
        <v>0.685</v>
      </c>
      <c r="Q14" s="34">
        <f t="shared" si="49"/>
        <v>0.685</v>
      </c>
      <c r="R14" s="34">
        <f t="shared" si="49"/>
        <v>0.685</v>
      </c>
      <c r="AC14" s="34">
        <f t="shared" ref="AC14:AJ14" si="50">($O14*T$3+$P14*T$4+$Q14*T$5+$R14*T$6)+T$9</f>
        <v>2.305</v>
      </c>
      <c r="AD14" s="34">
        <f t="shared" si="50"/>
        <v>2.305</v>
      </c>
      <c r="AE14" s="34">
        <f t="shared" si="50"/>
        <v>2.305</v>
      </c>
      <c r="AF14" s="34">
        <f t="shared" si="50"/>
        <v>2.305</v>
      </c>
      <c r="AG14" s="34">
        <f t="shared" si="50"/>
        <v>2.305</v>
      </c>
      <c r="AH14" s="34">
        <f t="shared" si="50"/>
        <v>2.305</v>
      </c>
      <c r="AI14" s="34">
        <f t="shared" si="50"/>
        <v>2.305</v>
      </c>
      <c r="AJ14" s="34">
        <f t="shared" si="50"/>
        <v>2.305</v>
      </c>
      <c r="AL14" s="37">
        <f t="shared" ref="AL14:AS14" si="51">max(0,AC14)</f>
        <v>2.305</v>
      </c>
      <c r="AM14" s="37">
        <f t="shared" si="51"/>
        <v>2.305</v>
      </c>
      <c r="AN14" s="37">
        <f t="shared" si="51"/>
        <v>2.305</v>
      </c>
      <c r="AO14" s="37">
        <f t="shared" si="51"/>
        <v>2.305</v>
      </c>
      <c r="AP14" s="37">
        <f t="shared" si="51"/>
        <v>2.305</v>
      </c>
      <c r="AQ14" s="37">
        <f t="shared" si="51"/>
        <v>2.305</v>
      </c>
      <c r="AR14" s="37">
        <f t="shared" si="51"/>
        <v>2.305</v>
      </c>
      <c r="AS14" s="37">
        <f t="shared" si="51"/>
        <v>2.305</v>
      </c>
      <c r="AW14" s="33">
        <f t="shared" si="9"/>
        <v>14.08</v>
      </c>
      <c r="AY14" s="34">
        <f t="shared" si="10"/>
        <v>0.9999992324</v>
      </c>
    </row>
    <row r="15">
      <c r="A15" s="17">
        <f t="shared" si="11"/>
        <v>13</v>
      </c>
      <c r="B15" s="52">
        <v>-2.032</v>
      </c>
      <c r="C15" s="52">
        <v>1.092</v>
      </c>
      <c r="J15" s="34">
        <f t="shared" ref="J15:M15" si="52">($B15*E$3+$C15*E$4)+E$8</f>
        <v>-0.455</v>
      </c>
      <c r="K15" s="34">
        <f t="shared" si="52"/>
        <v>-0.455</v>
      </c>
      <c r="L15" s="34">
        <f t="shared" si="52"/>
        <v>-0.455</v>
      </c>
      <c r="M15" s="34">
        <f t="shared" si="52"/>
        <v>-0.455</v>
      </c>
      <c r="O15" s="34">
        <f t="shared" ref="O15:R15" si="53">max(0,J15)</f>
        <v>0</v>
      </c>
      <c r="P15" s="34">
        <f t="shared" si="53"/>
        <v>0</v>
      </c>
      <c r="Q15" s="34">
        <f t="shared" si="53"/>
        <v>0</v>
      </c>
      <c r="R15" s="34">
        <f t="shared" si="53"/>
        <v>0</v>
      </c>
      <c r="AC15" s="34">
        <f t="shared" ref="AC15:AJ15" si="54">($O15*T$3+$P15*T$4+$Q15*T$5+$R15*T$6)+T$9</f>
        <v>0.25</v>
      </c>
      <c r="AD15" s="34">
        <f t="shared" si="54"/>
        <v>0.25</v>
      </c>
      <c r="AE15" s="34">
        <f t="shared" si="54"/>
        <v>0.25</v>
      </c>
      <c r="AF15" s="34">
        <f t="shared" si="54"/>
        <v>0.25</v>
      </c>
      <c r="AG15" s="34">
        <f t="shared" si="54"/>
        <v>0.25</v>
      </c>
      <c r="AH15" s="34">
        <f t="shared" si="54"/>
        <v>0.25</v>
      </c>
      <c r="AI15" s="34">
        <f t="shared" si="54"/>
        <v>0.25</v>
      </c>
      <c r="AJ15" s="34">
        <f t="shared" si="54"/>
        <v>0.25</v>
      </c>
      <c r="AL15" s="37">
        <f t="shared" ref="AL15:AS15" si="55">max(0,AC15)</f>
        <v>0.25</v>
      </c>
      <c r="AM15" s="37">
        <f t="shared" si="55"/>
        <v>0.25</v>
      </c>
      <c r="AN15" s="37">
        <f t="shared" si="55"/>
        <v>0.25</v>
      </c>
      <c r="AO15" s="37">
        <f t="shared" si="55"/>
        <v>0.25</v>
      </c>
      <c r="AP15" s="37">
        <f t="shared" si="55"/>
        <v>0.25</v>
      </c>
      <c r="AQ15" s="37">
        <f t="shared" si="55"/>
        <v>0.25</v>
      </c>
      <c r="AR15" s="37">
        <f t="shared" si="55"/>
        <v>0.25</v>
      </c>
      <c r="AS15" s="37">
        <f t="shared" si="55"/>
        <v>0.25</v>
      </c>
      <c r="AW15" s="33">
        <f t="shared" si="9"/>
        <v>1.75</v>
      </c>
      <c r="AY15" s="34">
        <f t="shared" si="10"/>
        <v>0.851952802</v>
      </c>
    </row>
    <row r="16">
      <c r="A16" s="17">
        <f t="shared" si="11"/>
        <v>14</v>
      </c>
      <c r="B16" s="52">
        <v>-1.476</v>
      </c>
      <c r="C16" s="52">
        <v>-1.606</v>
      </c>
      <c r="J16" s="34">
        <f t="shared" ref="J16:M16" si="56">($B16*E$3+$C16*E$4)+E$8</f>
        <v>-2.0615</v>
      </c>
      <c r="K16" s="34">
        <f t="shared" si="56"/>
        <v>-2.0615</v>
      </c>
      <c r="L16" s="34">
        <f t="shared" si="56"/>
        <v>-2.0615</v>
      </c>
      <c r="M16" s="34">
        <f t="shared" si="56"/>
        <v>-2.0615</v>
      </c>
      <c r="O16" s="34">
        <f t="shared" ref="O16:R16" si="57">max(0,J16)</f>
        <v>0</v>
      </c>
      <c r="P16" s="34">
        <f t="shared" si="57"/>
        <v>0</v>
      </c>
      <c r="Q16" s="34">
        <f t="shared" si="57"/>
        <v>0</v>
      </c>
      <c r="R16" s="34">
        <f t="shared" si="57"/>
        <v>0</v>
      </c>
      <c r="AC16" s="34">
        <f t="shared" ref="AC16:AJ16" si="58">($O16*T$3+$P16*T$4+$Q16*T$5+$R16*T$6)+T$9</f>
        <v>0.25</v>
      </c>
      <c r="AD16" s="34">
        <f t="shared" si="58"/>
        <v>0.25</v>
      </c>
      <c r="AE16" s="34">
        <f t="shared" si="58"/>
        <v>0.25</v>
      </c>
      <c r="AF16" s="34">
        <f t="shared" si="58"/>
        <v>0.25</v>
      </c>
      <c r="AG16" s="34">
        <f t="shared" si="58"/>
        <v>0.25</v>
      </c>
      <c r="AH16" s="34">
        <f t="shared" si="58"/>
        <v>0.25</v>
      </c>
      <c r="AI16" s="34">
        <f t="shared" si="58"/>
        <v>0.25</v>
      </c>
      <c r="AJ16" s="34">
        <f t="shared" si="58"/>
        <v>0.25</v>
      </c>
      <c r="AL16" s="37">
        <f t="shared" ref="AL16:AS16" si="59">max(0,AC16)</f>
        <v>0.25</v>
      </c>
      <c r="AM16" s="37">
        <f t="shared" si="59"/>
        <v>0.25</v>
      </c>
      <c r="AN16" s="37">
        <f t="shared" si="59"/>
        <v>0.25</v>
      </c>
      <c r="AO16" s="37">
        <f t="shared" si="59"/>
        <v>0.25</v>
      </c>
      <c r="AP16" s="37">
        <f t="shared" si="59"/>
        <v>0.25</v>
      </c>
      <c r="AQ16" s="37">
        <f t="shared" si="59"/>
        <v>0.25</v>
      </c>
      <c r="AR16" s="37">
        <f t="shared" si="59"/>
        <v>0.25</v>
      </c>
      <c r="AS16" s="37">
        <f t="shared" si="59"/>
        <v>0.25</v>
      </c>
      <c r="AW16" s="33">
        <f t="shared" si="9"/>
        <v>1.75</v>
      </c>
      <c r="AY16" s="34">
        <f t="shared" si="10"/>
        <v>0.851952802</v>
      </c>
    </row>
    <row r="17">
      <c r="A17" s="17">
        <f t="shared" si="11"/>
        <v>15</v>
      </c>
      <c r="B17" s="52">
        <v>-0.084</v>
      </c>
      <c r="C17" s="52">
        <v>3.386</v>
      </c>
      <c r="J17" s="34">
        <f t="shared" ref="J17:M17" si="60">($B17*E$3+$C17*E$4)+E$8</f>
        <v>2.7265</v>
      </c>
      <c r="K17" s="34">
        <f t="shared" si="60"/>
        <v>2.7265</v>
      </c>
      <c r="L17" s="34">
        <f t="shared" si="60"/>
        <v>2.7265</v>
      </c>
      <c r="M17" s="34">
        <f t="shared" si="60"/>
        <v>2.7265</v>
      </c>
      <c r="O17" s="34">
        <f t="shared" ref="O17:R17" si="61">max(0,J17)</f>
        <v>2.7265</v>
      </c>
      <c r="P17" s="34">
        <f t="shared" si="61"/>
        <v>2.7265</v>
      </c>
      <c r="Q17" s="34">
        <f t="shared" si="61"/>
        <v>2.7265</v>
      </c>
      <c r="R17" s="34">
        <f t="shared" si="61"/>
        <v>2.7265</v>
      </c>
      <c r="AC17" s="34">
        <f t="shared" ref="AC17:AJ17" si="62">($O17*T$3+$P17*T$4+$Q17*T$5+$R17*T$6)+T$9</f>
        <v>8.4295</v>
      </c>
      <c r="AD17" s="34">
        <f t="shared" si="62"/>
        <v>8.4295</v>
      </c>
      <c r="AE17" s="34">
        <f t="shared" si="62"/>
        <v>8.4295</v>
      </c>
      <c r="AF17" s="34">
        <f t="shared" si="62"/>
        <v>8.4295</v>
      </c>
      <c r="AG17" s="34">
        <f t="shared" si="62"/>
        <v>8.4295</v>
      </c>
      <c r="AH17" s="34">
        <f t="shared" si="62"/>
        <v>8.4295</v>
      </c>
      <c r="AI17" s="34">
        <f t="shared" si="62"/>
        <v>8.4295</v>
      </c>
      <c r="AJ17" s="34">
        <f t="shared" si="62"/>
        <v>8.4295</v>
      </c>
      <c r="AL17" s="37">
        <f t="shared" ref="AL17:AS17" si="63">max(0,AC17)</f>
        <v>8.4295</v>
      </c>
      <c r="AM17" s="37">
        <f t="shared" si="63"/>
        <v>8.4295</v>
      </c>
      <c r="AN17" s="37">
        <f t="shared" si="63"/>
        <v>8.4295</v>
      </c>
      <c r="AO17" s="37">
        <f t="shared" si="63"/>
        <v>8.4295</v>
      </c>
      <c r="AP17" s="37">
        <f t="shared" si="63"/>
        <v>8.4295</v>
      </c>
      <c r="AQ17" s="37">
        <f t="shared" si="63"/>
        <v>8.4295</v>
      </c>
      <c r="AR17" s="37">
        <f t="shared" si="63"/>
        <v>8.4295</v>
      </c>
      <c r="AS17" s="37">
        <f t="shared" si="63"/>
        <v>8.4295</v>
      </c>
      <c r="AW17" s="33">
        <f t="shared" si="9"/>
        <v>50.827</v>
      </c>
      <c r="AY17" s="34">
        <f t="shared" si="10"/>
        <v>1</v>
      </c>
    </row>
    <row r="18">
      <c r="A18" s="17">
        <f t="shared" si="11"/>
        <v>16</v>
      </c>
      <c r="B18" s="52">
        <v>-1.618</v>
      </c>
      <c r="C18" s="52">
        <v>1.16</v>
      </c>
      <c r="J18" s="34">
        <f t="shared" ref="J18:M18" si="64">($B18*E$3+$C18*E$4)+E$8</f>
        <v>-0.0935</v>
      </c>
      <c r="K18" s="34">
        <f t="shared" si="64"/>
        <v>-0.0935</v>
      </c>
      <c r="L18" s="34">
        <f t="shared" si="64"/>
        <v>-0.0935</v>
      </c>
      <c r="M18" s="34">
        <f t="shared" si="64"/>
        <v>-0.0935</v>
      </c>
      <c r="O18" s="34">
        <f t="shared" ref="O18:R18" si="65">max(0,J18)</f>
        <v>0</v>
      </c>
      <c r="P18" s="34">
        <f t="shared" si="65"/>
        <v>0</v>
      </c>
      <c r="Q18" s="34">
        <f t="shared" si="65"/>
        <v>0</v>
      </c>
      <c r="R18" s="34">
        <f t="shared" si="65"/>
        <v>0</v>
      </c>
      <c r="AC18" s="34">
        <f t="shared" ref="AC18:AJ18" si="66">($O18*T$3+$P18*T$4+$Q18*T$5+$R18*T$6)+T$9</f>
        <v>0.25</v>
      </c>
      <c r="AD18" s="34">
        <f t="shared" si="66"/>
        <v>0.25</v>
      </c>
      <c r="AE18" s="34">
        <f t="shared" si="66"/>
        <v>0.25</v>
      </c>
      <c r="AF18" s="34">
        <f t="shared" si="66"/>
        <v>0.25</v>
      </c>
      <c r="AG18" s="34">
        <f t="shared" si="66"/>
        <v>0.25</v>
      </c>
      <c r="AH18" s="34">
        <f t="shared" si="66"/>
        <v>0.25</v>
      </c>
      <c r="AI18" s="34">
        <f t="shared" si="66"/>
        <v>0.25</v>
      </c>
      <c r="AJ18" s="34">
        <f t="shared" si="66"/>
        <v>0.25</v>
      </c>
      <c r="AL18" s="37">
        <f t="shared" ref="AL18:AS18" si="67">max(0,AC18)</f>
        <v>0.25</v>
      </c>
      <c r="AM18" s="37">
        <f t="shared" si="67"/>
        <v>0.25</v>
      </c>
      <c r="AN18" s="37">
        <f t="shared" si="67"/>
        <v>0.25</v>
      </c>
      <c r="AO18" s="37">
        <f t="shared" si="67"/>
        <v>0.25</v>
      </c>
      <c r="AP18" s="37">
        <f t="shared" si="67"/>
        <v>0.25</v>
      </c>
      <c r="AQ18" s="37">
        <f t="shared" si="67"/>
        <v>0.25</v>
      </c>
      <c r="AR18" s="37">
        <f t="shared" si="67"/>
        <v>0.25</v>
      </c>
      <c r="AS18" s="37">
        <f t="shared" si="67"/>
        <v>0.25</v>
      </c>
      <c r="AW18" s="33">
        <f t="shared" si="9"/>
        <v>1.75</v>
      </c>
      <c r="AY18" s="34">
        <f t="shared" si="10"/>
        <v>0.851952802</v>
      </c>
    </row>
    <row r="19">
      <c r="A19" s="17">
        <f t="shared" si="11"/>
        <v>17</v>
      </c>
      <c r="B19" s="52">
        <v>2.238</v>
      </c>
      <c r="C19" s="52">
        <v>-1.671</v>
      </c>
      <c r="J19" s="34">
        <f t="shared" ref="J19:M19" si="68">($B19*E$3+$C19*E$4)+E$8</f>
        <v>0.67525</v>
      </c>
      <c r="K19" s="34">
        <f t="shared" si="68"/>
        <v>0.67525</v>
      </c>
      <c r="L19" s="34">
        <f t="shared" si="68"/>
        <v>0.67525</v>
      </c>
      <c r="M19" s="34">
        <f t="shared" si="68"/>
        <v>0.67525</v>
      </c>
      <c r="O19" s="34">
        <f t="shared" ref="O19:R19" si="69">max(0,J19)</f>
        <v>0.67525</v>
      </c>
      <c r="P19" s="34">
        <f t="shared" si="69"/>
        <v>0.67525</v>
      </c>
      <c r="Q19" s="34">
        <f t="shared" si="69"/>
        <v>0.67525</v>
      </c>
      <c r="R19" s="34">
        <f t="shared" si="69"/>
        <v>0.67525</v>
      </c>
      <c r="AC19" s="34">
        <f t="shared" ref="AC19:AJ19" si="70">($O19*T$3+$P19*T$4+$Q19*T$5+$R19*T$6)+T$9</f>
        <v>2.27575</v>
      </c>
      <c r="AD19" s="34">
        <f t="shared" si="70"/>
        <v>2.27575</v>
      </c>
      <c r="AE19" s="34">
        <f t="shared" si="70"/>
        <v>2.27575</v>
      </c>
      <c r="AF19" s="34">
        <f t="shared" si="70"/>
        <v>2.27575</v>
      </c>
      <c r="AG19" s="34">
        <f t="shared" si="70"/>
        <v>2.27575</v>
      </c>
      <c r="AH19" s="34">
        <f t="shared" si="70"/>
        <v>2.27575</v>
      </c>
      <c r="AI19" s="34">
        <f t="shared" si="70"/>
        <v>2.27575</v>
      </c>
      <c r="AJ19" s="34">
        <f t="shared" si="70"/>
        <v>2.27575</v>
      </c>
      <c r="AL19" s="37">
        <f t="shared" ref="AL19:AS19" si="71">max(0,AC19)</f>
        <v>2.27575</v>
      </c>
      <c r="AM19" s="37">
        <f t="shared" si="71"/>
        <v>2.27575</v>
      </c>
      <c r="AN19" s="37">
        <f t="shared" si="71"/>
        <v>2.27575</v>
      </c>
      <c r="AO19" s="37">
        <f t="shared" si="71"/>
        <v>2.27575</v>
      </c>
      <c r="AP19" s="37">
        <f t="shared" si="71"/>
        <v>2.27575</v>
      </c>
      <c r="AQ19" s="37">
        <f t="shared" si="71"/>
        <v>2.27575</v>
      </c>
      <c r="AR19" s="37">
        <f t="shared" si="71"/>
        <v>2.27575</v>
      </c>
      <c r="AS19" s="37">
        <f t="shared" si="71"/>
        <v>2.27575</v>
      </c>
      <c r="AW19" s="33">
        <f t="shared" si="9"/>
        <v>13.9045</v>
      </c>
      <c r="AY19" s="34">
        <f t="shared" si="10"/>
        <v>0.9999990851</v>
      </c>
    </row>
    <row r="20">
      <c r="A20" s="17">
        <f t="shared" si="11"/>
        <v>18</v>
      </c>
      <c r="B20" s="52">
        <v>-2.102</v>
      </c>
      <c r="C20" s="52">
        <v>1.924</v>
      </c>
      <c r="J20" s="34">
        <f t="shared" ref="J20:M20" si="72">($B20*E$3+$C20*E$4)+E$8</f>
        <v>0.1165</v>
      </c>
      <c r="K20" s="34">
        <f t="shared" si="72"/>
        <v>0.1165</v>
      </c>
      <c r="L20" s="34">
        <f t="shared" si="72"/>
        <v>0.1165</v>
      </c>
      <c r="M20" s="34">
        <f t="shared" si="72"/>
        <v>0.1165</v>
      </c>
      <c r="O20" s="34">
        <f t="shared" ref="O20:R20" si="73">max(0,J20)</f>
        <v>0.1165</v>
      </c>
      <c r="P20" s="34">
        <f t="shared" si="73"/>
        <v>0.1165</v>
      </c>
      <c r="Q20" s="34">
        <f t="shared" si="73"/>
        <v>0.1165</v>
      </c>
      <c r="R20" s="34">
        <f t="shared" si="73"/>
        <v>0.1165</v>
      </c>
      <c r="AC20" s="34">
        <f t="shared" ref="AC20:AJ20" si="74">($O20*T$3+$P20*T$4+$Q20*T$5+$R20*T$6)+T$9</f>
        <v>0.5995</v>
      </c>
      <c r="AD20" s="34">
        <f t="shared" si="74"/>
        <v>0.5995</v>
      </c>
      <c r="AE20" s="34">
        <f t="shared" si="74"/>
        <v>0.5995</v>
      </c>
      <c r="AF20" s="34">
        <f t="shared" si="74"/>
        <v>0.5995</v>
      </c>
      <c r="AG20" s="34">
        <f t="shared" si="74"/>
        <v>0.5995</v>
      </c>
      <c r="AH20" s="34">
        <f t="shared" si="74"/>
        <v>0.5995</v>
      </c>
      <c r="AI20" s="34">
        <f t="shared" si="74"/>
        <v>0.5995</v>
      </c>
      <c r="AJ20" s="34">
        <f t="shared" si="74"/>
        <v>0.5995</v>
      </c>
      <c r="AL20" s="37">
        <f t="shared" ref="AL20:AS20" si="75">max(0,AC20)</f>
        <v>0.5995</v>
      </c>
      <c r="AM20" s="37">
        <f t="shared" si="75"/>
        <v>0.5995</v>
      </c>
      <c r="AN20" s="37">
        <f t="shared" si="75"/>
        <v>0.5995</v>
      </c>
      <c r="AO20" s="37">
        <f t="shared" si="75"/>
        <v>0.5995</v>
      </c>
      <c r="AP20" s="37">
        <f t="shared" si="75"/>
        <v>0.5995</v>
      </c>
      <c r="AQ20" s="37">
        <f t="shared" si="75"/>
        <v>0.5995</v>
      </c>
      <c r="AR20" s="37">
        <f t="shared" si="75"/>
        <v>0.5995</v>
      </c>
      <c r="AS20" s="37">
        <f t="shared" si="75"/>
        <v>0.5995</v>
      </c>
      <c r="AW20" s="33">
        <f t="shared" si="9"/>
        <v>3.847</v>
      </c>
      <c r="AY20" s="34">
        <f t="shared" si="10"/>
        <v>0.9791023608</v>
      </c>
    </row>
    <row r="21">
      <c r="A21" s="17">
        <f t="shared" si="11"/>
        <v>19</v>
      </c>
      <c r="B21" s="52">
        <v>-1.059</v>
      </c>
      <c r="C21" s="52">
        <v>4.297</v>
      </c>
      <c r="J21" s="34">
        <f t="shared" ref="J21:M21" si="76">($B21*E$3+$C21*E$4)+E$8</f>
        <v>2.6785</v>
      </c>
      <c r="K21" s="34">
        <f t="shared" si="76"/>
        <v>2.6785</v>
      </c>
      <c r="L21" s="34">
        <f t="shared" si="76"/>
        <v>2.6785</v>
      </c>
      <c r="M21" s="34">
        <f t="shared" si="76"/>
        <v>2.6785</v>
      </c>
      <c r="O21" s="34">
        <f t="shared" ref="O21:R21" si="77">max(0,J21)</f>
        <v>2.6785</v>
      </c>
      <c r="P21" s="34">
        <f t="shared" si="77"/>
        <v>2.6785</v>
      </c>
      <c r="Q21" s="34">
        <f t="shared" si="77"/>
        <v>2.6785</v>
      </c>
      <c r="R21" s="34">
        <f t="shared" si="77"/>
        <v>2.6785</v>
      </c>
      <c r="AC21" s="34">
        <f t="shared" ref="AC21:AJ21" si="78">($O21*T$3+$P21*T$4+$Q21*T$5+$R21*T$6)+T$9</f>
        <v>8.2855</v>
      </c>
      <c r="AD21" s="34">
        <f t="shared" si="78"/>
        <v>8.2855</v>
      </c>
      <c r="AE21" s="34">
        <f t="shared" si="78"/>
        <v>8.2855</v>
      </c>
      <c r="AF21" s="34">
        <f t="shared" si="78"/>
        <v>8.2855</v>
      </c>
      <c r="AG21" s="34">
        <f t="shared" si="78"/>
        <v>8.2855</v>
      </c>
      <c r="AH21" s="34">
        <f t="shared" si="78"/>
        <v>8.2855</v>
      </c>
      <c r="AI21" s="34">
        <f t="shared" si="78"/>
        <v>8.2855</v>
      </c>
      <c r="AJ21" s="34">
        <f t="shared" si="78"/>
        <v>8.2855</v>
      </c>
      <c r="AL21" s="37">
        <f t="shared" ref="AL21:AS21" si="79">max(0,AC21)</f>
        <v>8.2855</v>
      </c>
      <c r="AM21" s="37">
        <f t="shared" si="79"/>
        <v>8.2855</v>
      </c>
      <c r="AN21" s="37">
        <f t="shared" si="79"/>
        <v>8.2855</v>
      </c>
      <c r="AO21" s="37">
        <f t="shared" si="79"/>
        <v>8.2855</v>
      </c>
      <c r="AP21" s="37">
        <f t="shared" si="79"/>
        <v>8.2855</v>
      </c>
      <c r="AQ21" s="37">
        <f t="shared" si="79"/>
        <v>8.2855</v>
      </c>
      <c r="AR21" s="37">
        <f t="shared" si="79"/>
        <v>8.2855</v>
      </c>
      <c r="AS21" s="37">
        <f t="shared" si="79"/>
        <v>8.2855</v>
      </c>
      <c r="AW21" s="33">
        <f t="shared" si="9"/>
        <v>49.963</v>
      </c>
      <c r="AY21" s="34">
        <f t="shared" si="10"/>
        <v>1</v>
      </c>
    </row>
    <row r="22">
      <c r="A22" s="17">
        <f t="shared" si="11"/>
        <v>20</v>
      </c>
      <c r="B22" s="52">
        <v>2.642</v>
      </c>
      <c r="C22" s="52">
        <v>2.981</v>
      </c>
      <c r="J22" s="34">
        <f t="shared" ref="J22:M22" si="80">($B22*E$3+$C22*E$4)+E$8</f>
        <v>4.46725</v>
      </c>
      <c r="K22" s="34">
        <f t="shared" si="80"/>
        <v>4.46725</v>
      </c>
      <c r="L22" s="34">
        <f t="shared" si="80"/>
        <v>4.46725</v>
      </c>
      <c r="M22" s="34">
        <f t="shared" si="80"/>
        <v>4.46725</v>
      </c>
      <c r="O22" s="34">
        <f t="shared" ref="O22:R22" si="81">max(0,J22)</f>
        <v>4.46725</v>
      </c>
      <c r="P22" s="34">
        <f t="shared" si="81"/>
        <v>4.46725</v>
      </c>
      <c r="Q22" s="34">
        <f t="shared" si="81"/>
        <v>4.46725</v>
      </c>
      <c r="R22" s="34">
        <f t="shared" si="81"/>
        <v>4.46725</v>
      </c>
      <c r="AC22" s="34">
        <f t="shared" ref="AC22:AJ22" si="82">($O22*T$3+$P22*T$4+$Q22*T$5+$R22*T$6)+T$9</f>
        <v>13.65175</v>
      </c>
      <c r="AD22" s="34">
        <f t="shared" si="82"/>
        <v>13.65175</v>
      </c>
      <c r="AE22" s="34">
        <f t="shared" si="82"/>
        <v>13.65175</v>
      </c>
      <c r="AF22" s="34">
        <f t="shared" si="82"/>
        <v>13.65175</v>
      </c>
      <c r="AG22" s="34">
        <f t="shared" si="82"/>
        <v>13.65175</v>
      </c>
      <c r="AH22" s="34">
        <f t="shared" si="82"/>
        <v>13.65175</v>
      </c>
      <c r="AI22" s="34">
        <f t="shared" si="82"/>
        <v>13.65175</v>
      </c>
      <c r="AJ22" s="34">
        <f t="shared" si="82"/>
        <v>13.65175</v>
      </c>
      <c r="AL22" s="37">
        <f t="shared" ref="AL22:AS22" si="83">max(0,AC22)</f>
        <v>13.65175</v>
      </c>
      <c r="AM22" s="37">
        <f t="shared" si="83"/>
        <v>13.65175</v>
      </c>
      <c r="AN22" s="37">
        <f t="shared" si="83"/>
        <v>13.65175</v>
      </c>
      <c r="AO22" s="37">
        <f t="shared" si="83"/>
        <v>13.65175</v>
      </c>
      <c r="AP22" s="37">
        <f t="shared" si="83"/>
        <v>13.65175</v>
      </c>
      <c r="AQ22" s="37">
        <f t="shared" si="83"/>
        <v>13.65175</v>
      </c>
      <c r="AR22" s="37">
        <f t="shared" si="83"/>
        <v>13.65175</v>
      </c>
      <c r="AS22" s="37">
        <f t="shared" si="83"/>
        <v>13.65175</v>
      </c>
      <c r="AW22" s="33">
        <f t="shared" si="9"/>
        <v>82.1605</v>
      </c>
      <c r="AY22" s="34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18</v>
      </c>
    </row>
    <row r="25">
      <c r="B25" s="7" t="s">
        <v>19</v>
      </c>
      <c r="D25" s="16"/>
      <c r="F25" s="7" t="s">
        <v>20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21</v>
      </c>
      <c r="D26" s="7" t="s">
        <v>22</v>
      </c>
      <c r="E26" s="7" t="s">
        <v>23</v>
      </c>
      <c r="F26" s="7" t="s">
        <v>24</v>
      </c>
      <c r="M26" s="7" t="s">
        <v>5</v>
      </c>
      <c r="O26" s="9" t="s">
        <v>25</v>
      </c>
      <c r="Q26" s="7" t="s">
        <v>26</v>
      </c>
      <c r="AI26" s="61"/>
      <c r="AR26" s="61"/>
      <c r="AW26" s="7" t="s">
        <v>27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4">
        <f t="shared" ref="D27:D46" si="85">B27-C27</f>
        <v>1</v>
      </c>
      <c r="E27" s="34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0">
        <v>8.035749999999997</v>
      </c>
      <c r="R27" s="30">
        <v>8.035749999999997</v>
      </c>
      <c r="S27" s="30">
        <v>8.035749999999997</v>
      </c>
      <c r="T27" s="30">
        <v>8.035749999999997</v>
      </c>
      <c r="U27" s="30">
        <v>8.035749999999997</v>
      </c>
      <c r="V27" s="30">
        <v>8.035749999999997</v>
      </c>
      <c r="W27" s="30">
        <v>8.035749999999997</v>
      </c>
      <c r="X27" s="30">
        <v>8.035749999999997</v>
      </c>
      <c r="Z27" s="30">
        <v>8.035749999999997</v>
      </c>
      <c r="AA27" s="37">
        <v>0.25</v>
      </c>
      <c r="AB27" s="37">
        <v>4.5729999999999995</v>
      </c>
      <c r="AC27" s="37">
        <v>25.10425</v>
      </c>
      <c r="AD27" s="37">
        <v>0.25</v>
      </c>
      <c r="AE27" s="37">
        <v>60.37975</v>
      </c>
      <c r="AF27" s="37">
        <v>0.25</v>
      </c>
      <c r="AG27" s="37">
        <v>23.76775</v>
      </c>
      <c r="AH27" s="37">
        <v>49.53475</v>
      </c>
      <c r="AI27" s="37">
        <v>0.25</v>
      </c>
      <c r="AJ27" s="37">
        <v>6.372999999999999</v>
      </c>
      <c r="AK27" s="37">
        <v>2.305</v>
      </c>
      <c r="AL27" s="37">
        <v>0.25</v>
      </c>
      <c r="AM27" s="37">
        <v>0.25</v>
      </c>
      <c r="AN27" s="37">
        <v>8.4295</v>
      </c>
      <c r="AO27" s="37">
        <v>0.25</v>
      </c>
      <c r="AP27" s="37">
        <v>2.2757500000000004</v>
      </c>
      <c r="AQ27" s="37">
        <v>0.5995000000000008</v>
      </c>
      <c r="AR27" s="37">
        <v>8.285499999999999</v>
      </c>
      <c r="AS27" s="37">
        <v>13.65175</v>
      </c>
      <c r="AU27" s="34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62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4">
        <f t="shared" ref="A28:A46" si="91">A27+1</f>
        <v>2</v>
      </c>
      <c r="B28" s="16">
        <f t="shared" si="84"/>
        <v>0.851952802</v>
      </c>
      <c r="C28" s="7">
        <v>0.0</v>
      </c>
      <c r="D28" s="34">
        <f t="shared" si="85"/>
        <v>0.851952802</v>
      </c>
      <c r="E28" s="34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37">
        <v>0.25</v>
      </c>
      <c r="R28" s="37">
        <v>0.25</v>
      </c>
      <c r="S28" s="37">
        <v>0.25</v>
      </c>
      <c r="T28" s="37">
        <v>0.25</v>
      </c>
      <c r="U28" s="37">
        <v>0.25</v>
      </c>
      <c r="V28" s="37">
        <v>0.25</v>
      </c>
      <c r="W28" s="37">
        <v>0.25</v>
      </c>
      <c r="X28" s="37">
        <v>0.25</v>
      </c>
      <c r="Z28" s="30">
        <v>8.035749999999997</v>
      </c>
      <c r="AA28" s="37">
        <v>0.25</v>
      </c>
      <c r="AB28" s="37">
        <v>4.5729999999999995</v>
      </c>
      <c r="AC28" s="37">
        <v>25.10425</v>
      </c>
      <c r="AD28" s="37">
        <v>0.25</v>
      </c>
      <c r="AE28" s="37">
        <v>60.37975</v>
      </c>
      <c r="AF28" s="37">
        <v>0.25</v>
      </c>
      <c r="AG28" s="37">
        <v>23.76775</v>
      </c>
      <c r="AH28" s="37">
        <v>49.53475</v>
      </c>
      <c r="AI28" s="37">
        <v>0.25</v>
      </c>
      <c r="AJ28" s="37">
        <v>6.372999999999999</v>
      </c>
      <c r="AK28" s="37">
        <v>2.305</v>
      </c>
      <c r="AL28" s="37">
        <v>0.25</v>
      </c>
      <c r="AM28" s="37">
        <v>0.25</v>
      </c>
      <c r="AN28" s="37">
        <v>8.4295</v>
      </c>
      <c r="AO28" s="37">
        <v>0.25</v>
      </c>
      <c r="AP28" s="37">
        <v>2.2757500000000004</v>
      </c>
      <c r="AQ28" s="37">
        <v>0.5995000000000008</v>
      </c>
      <c r="AR28" s="37">
        <v>8.285499999999999</v>
      </c>
      <c r="AS28" s="37">
        <v>13.65175</v>
      </c>
      <c r="AU28" s="34">
        <f t="shared" si="89"/>
        <v>0.09319500077</v>
      </c>
      <c r="AX28" s="62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4">
        <f t="shared" si="91"/>
        <v>3</v>
      </c>
      <c r="B29" s="16">
        <f t="shared" si="84"/>
        <v>1</v>
      </c>
      <c r="C29" s="7">
        <v>0.0</v>
      </c>
      <c r="D29" s="34">
        <f t="shared" si="85"/>
        <v>1</v>
      </c>
      <c r="E29" s="34">
        <f t="shared" si="86"/>
        <v>0</v>
      </c>
      <c r="F29" s="15">
        <f t="shared" si="87"/>
        <v>0</v>
      </c>
      <c r="H29" s="7" t="s">
        <v>28</v>
      </c>
      <c r="I29" s="7" t="s">
        <v>29</v>
      </c>
      <c r="M29" s="4">
        <v>0.75</v>
      </c>
      <c r="O29" s="10">
        <f t="shared" si="88"/>
        <v>0.74906805</v>
      </c>
      <c r="Q29" s="37">
        <v>4.5729999999999995</v>
      </c>
      <c r="R29" s="37">
        <v>4.5729999999999995</v>
      </c>
      <c r="S29" s="37">
        <v>4.5729999999999995</v>
      </c>
      <c r="T29" s="37">
        <v>4.5729999999999995</v>
      </c>
      <c r="U29" s="37">
        <v>4.5729999999999995</v>
      </c>
      <c r="V29" s="37">
        <v>4.5729999999999995</v>
      </c>
      <c r="W29" s="37">
        <v>4.5729999999999995</v>
      </c>
      <c r="X29" s="37">
        <v>4.5729999999999995</v>
      </c>
      <c r="Z29" s="30">
        <v>8.035749999999997</v>
      </c>
      <c r="AA29" s="37">
        <v>0.25</v>
      </c>
      <c r="AB29" s="37">
        <v>4.5729999999999995</v>
      </c>
      <c r="AC29" s="37">
        <v>25.10425</v>
      </c>
      <c r="AD29" s="37">
        <v>0.25</v>
      </c>
      <c r="AE29" s="37">
        <v>60.37975</v>
      </c>
      <c r="AF29" s="37">
        <v>0.25</v>
      </c>
      <c r="AG29" s="37">
        <v>23.76775</v>
      </c>
      <c r="AH29" s="37">
        <v>49.53475</v>
      </c>
      <c r="AI29" s="37">
        <v>0.25</v>
      </c>
      <c r="AJ29" s="37">
        <v>6.372999999999999</v>
      </c>
      <c r="AK29" s="37">
        <v>2.305</v>
      </c>
      <c r="AL29" s="37">
        <v>0.25</v>
      </c>
      <c r="AM29" s="37">
        <v>0.25</v>
      </c>
      <c r="AN29" s="37">
        <v>8.4295</v>
      </c>
      <c r="AO29" s="37">
        <v>0.25</v>
      </c>
      <c r="AP29" s="37">
        <v>2.2757500000000004</v>
      </c>
      <c r="AQ29" s="37">
        <v>0.5995000000000008</v>
      </c>
      <c r="AR29" s="37">
        <v>8.285499999999999</v>
      </c>
      <c r="AS29" s="37">
        <v>13.65175</v>
      </c>
      <c r="AU29" s="34">
        <f t="shared" si="89"/>
        <v>0.09319500077</v>
      </c>
      <c r="AX29" s="62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4">
        <f t="shared" si="91"/>
        <v>4</v>
      </c>
      <c r="B30" s="16">
        <f t="shared" si="84"/>
        <v>1</v>
      </c>
      <c r="C30" s="7">
        <v>0.0</v>
      </c>
      <c r="D30" s="34">
        <f t="shared" si="85"/>
        <v>1</v>
      </c>
      <c r="E30" s="34">
        <f t="shared" si="86"/>
        <v>0</v>
      </c>
      <c r="F30" s="15">
        <f t="shared" si="87"/>
        <v>0</v>
      </c>
      <c r="H30" s="63"/>
      <c r="I30" s="63"/>
      <c r="M30" s="4">
        <v>0.75</v>
      </c>
      <c r="O30" s="10">
        <f t="shared" si="88"/>
        <v>0.74906805</v>
      </c>
      <c r="Q30" s="37">
        <v>25.10425</v>
      </c>
      <c r="R30" s="37">
        <v>25.10425</v>
      </c>
      <c r="S30" s="37">
        <v>25.10425</v>
      </c>
      <c r="T30" s="37">
        <v>25.10425</v>
      </c>
      <c r="U30" s="37">
        <v>25.10425</v>
      </c>
      <c r="V30" s="37">
        <v>25.10425</v>
      </c>
      <c r="W30" s="37">
        <v>25.10425</v>
      </c>
      <c r="X30" s="37">
        <v>25.10425</v>
      </c>
      <c r="Z30" s="30">
        <v>8.035749999999997</v>
      </c>
      <c r="AA30" s="37">
        <v>0.25</v>
      </c>
      <c r="AB30" s="37">
        <v>4.5729999999999995</v>
      </c>
      <c r="AC30" s="37">
        <v>25.10425</v>
      </c>
      <c r="AD30" s="37">
        <v>0.25</v>
      </c>
      <c r="AE30" s="37">
        <v>60.37975</v>
      </c>
      <c r="AF30" s="37">
        <v>0.25</v>
      </c>
      <c r="AG30" s="37">
        <v>23.76775</v>
      </c>
      <c r="AH30" s="37">
        <v>49.53475</v>
      </c>
      <c r="AI30" s="37">
        <v>0.25</v>
      </c>
      <c r="AJ30" s="37">
        <v>6.372999999999999</v>
      </c>
      <c r="AK30" s="37">
        <v>2.305</v>
      </c>
      <c r="AL30" s="37">
        <v>0.25</v>
      </c>
      <c r="AM30" s="37">
        <v>0.25</v>
      </c>
      <c r="AN30" s="37">
        <v>8.4295</v>
      </c>
      <c r="AO30" s="37">
        <v>0.25</v>
      </c>
      <c r="AP30" s="37">
        <v>2.2757500000000004</v>
      </c>
      <c r="AQ30" s="37">
        <v>0.5995000000000008</v>
      </c>
      <c r="AR30" s="37">
        <v>8.285499999999999</v>
      </c>
      <c r="AS30" s="37">
        <v>13.65175</v>
      </c>
      <c r="AU30" s="34">
        <f t="shared" si="89"/>
        <v>0.09319500077</v>
      </c>
      <c r="AX30" s="62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4">
        <f t="shared" si="91"/>
        <v>5</v>
      </c>
      <c r="B31" s="16">
        <f t="shared" si="84"/>
        <v>0.851952802</v>
      </c>
      <c r="C31" s="7">
        <v>0.0</v>
      </c>
      <c r="D31" s="34">
        <f t="shared" si="85"/>
        <v>0.851952802</v>
      </c>
      <c r="E31" s="34">
        <f t="shared" si="86"/>
        <v>0.1261292252</v>
      </c>
      <c r="F31" s="15">
        <f t="shared" si="87"/>
        <v>0.1074561468</v>
      </c>
      <c r="H31" s="11" t="s">
        <v>15</v>
      </c>
      <c r="I31" s="63"/>
      <c r="M31" s="4">
        <v>0.75</v>
      </c>
      <c r="O31" s="10">
        <f t="shared" si="88"/>
        <v>0.74906805</v>
      </c>
      <c r="Q31" s="37">
        <v>0.25</v>
      </c>
      <c r="R31" s="37">
        <v>0.25</v>
      </c>
      <c r="S31" s="37">
        <v>0.25</v>
      </c>
      <c r="T31" s="37">
        <v>0.25</v>
      </c>
      <c r="U31" s="37">
        <v>0.25</v>
      </c>
      <c r="V31" s="37">
        <v>0.25</v>
      </c>
      <c r="W31" s="37">
        <v>0.25</v>
      </c>
      <c r="X31" s="37">
        <v>0.25</v>
      </c>
      <c r="Z31" s="30">
        <v>8.035749999999997</v>
      </c>
      <c r="AA31" s="37">
        <v>0.25</v>
      </c>
      <c r="AB31" s="37">
        <v>4.5729999999999995</v>
      </c>
      <c r="AC31" s="37">
        <v>25.10425</v>
      </c>
      <c r="AD31" s="37">
        <v>0.25</v>
      </c>
      <c r="AE31" s="37">
        <v>60.37975</v>
      </c>
      <c r="AF31" s="37">
        <v>0.25</v>
      </c>
      <c r="AG31" s="37">
        <v>23.76775</v>
      </c>
      <c r="AH31" s="37">
        <v>49.53475</v>
      </c>
      <c r="AI31" s="37">
        <v>0.25</v>
      </c>
      <c r="AJ31" s="37">
        <v>6.372999999999999</v>
      </c>
      <c r="AK31" s="37">
        <v>2.305</v>
      </c>
      <c r="AL31" s="37">
        <v>0.25</v>
      </c>
      <c r="AM31" s="37">
        <v>0.25</v>
      </c>
      <c r="AN31" s="37">
        <v>8.4295</v>
      </c>
      <c r="AO31" s="37">
        <v>0.25</v>
      </c>
      <c r="AP31" s="37">
        <v>2.2757500000000004</v>
      </c>
      <c r="AQ31" s="37">
        <v>0.5995000000000008</v>
      </c>
      <c r="AR31" s="37">
        <v>8.285499999999999</v>
      </c>
      <c r="AS31" s="37">
        <v>13.65175</v>
      </c>
      <c r="AU31" s="34">
        <f t="shared" si="89"/>
        <v>0.09319500077</v>
      </c>
      <c r="AX31" s="62">
        <f t="shared" si="90"/>
        <v>0.0009319500077</v>
      </c>
    </row>
    <row r="32">
      <c r="A32" s="34">
        <f t="shared" si="91"/>
        <v>6</v>
      </c>
      <c r="B32" s="16">
        <f t="shared" si="84"/>
        <v>1</v>
      </c>
      <c r="C32" s="7">
        <v>0.0</v>
      </c>
      <c r="D32" s="34">
        <f t="shared" si="85"/>
        <v>1</v>
      </c>
      <c r="E32" s="34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37">
        <v>60.37975</v>
      </c>
      <c r="R32" s="37">
        <v>60.37975</v>
      </c>
      <c r="S32" s="37">
        <v>60.37975</v>
      </c>
      <c r="T32" s="37">
        <v>60.37975</v>
      </c>
      <c r="U32" s="37">
        <v>60.37975</v>
      </c>
      <c r="V32" s="37">
        <v>60.37975</v>
      </c>
      <c r="W32" s="37">
        <v>60.37975</v>
      </c>
      <c r="X32" s="37">
        <v>60.37975</v>
      </c>
      <c r="Z32" s="30">
        <v>8.035749999999997</v>
      </c>
      <c r="AA32" s="37">
        <v>0.25</v>
      </c>
      <c r="AB32" s="37">
        <v>4.5729999999999995</v>
      </c>
      <c r="AC32" s="37">
        <v>25.10425</v>
      </c>
      <c r="AD32" s="37">
        <v>0.25</v>
      </c>
      <c r="AE32" s="37">
        <v>60.37975</v>
      </c>
      <c r="AF32" s="37">
        <v>0.25</v>
      </c>
      <c r="AG32" s="37">
        <v>23.76775</v>
      </c>
      <c r="AH32" s="37">
        <v>49.53475</v>
      </c>
      <c r="AI32" s="37">
        <v>0.25</v>
      </c>
      <c r="AJ32" s="37">
        <v>6.372999999999999</v>
      </c>
      <c r="AK32" s="37">
        <v>2.305</v>
      </c>
      <c r="AL32" s="37">
        <v>0.25</v>
      </c>
      <c r="AM32" s="37">
        <v>0.25</v>
      </c>
      <c r="AN32" s="37">
        <v>8.4295</v>
      </c>
      <c r="AO32" s="37">
        <v>0.25</v>
      </c>
      <c r="AP32" s="37">
        <v>2.2757500000000004</v>
      </c>
      <c r="AQ32" s="37">
        <v>0.5995000000000008</v>
      </c>
      <c r="AR32" s="37">
        <v>8.285499999999999</v>
      </c>
      <c r="AS32" s="37">
        <v>13.65175</v>
      </c>
      <c r="AU32" s="34">
        <f t="shared" si="89"/>
        <v>0.09319500077</v>
      </c>
      <c r="AX32" s="62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4">
        <f t="shared" si="91"/>
        <v>7</v>
      </c>
      <c r="B33" s="16">
        <f t="shared" si="84"/>
        <v>0.851952802</v>
      </c>
      <c r="C33" s="7">
        <v>0.0</v>
      </c>
      <c r="D33" s="34">
        <f t="shared" si="85"/>
        <v>0.851952802</v>
      </c>
      <c r="E33" s="34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37">
        <v>0.25</v>
      </c>
      <c r="R33" s="37">
        <v>0.25</v>
      </c>
      <c r="S33" s="37">
        <v>0.25</v>
      </c>
      <c r="T33" s="37">
        <v>0.25</v>
      </c>
      <c r="U33" s="37">
        <v>0.25</v>
      </c>
      <c r="V33" s="37">
        <v>0.25</v>
      </c>
      <c r="W33" s="37">
        <v>0.25</v>
      </c>
      <c r="X33" s="37">
        <v>0.25</v>
      </c>
      <c r="Z33" s="30">
        <v>8.035749999999997</v>
      </c>
      <c r="AA33" s="37">
        <v>0.25</v>
      </c>
      <c r="AB33" s="37">
        <v>4.5729999999999995</v>
      </c>
      <c r="AC33" s="37">
        <v>25.10425</v>
      </c>
      <c r="AD33" s="37">
        <v>0.25</v>
      </c>
      <c r="AE33" s="37">
        <v>60.37975</v>
      </c>
      <c r="AF33" s="37">
        <v>0.25</v>
      </c>
      <c r="AG33" s="37">
        <v>23.76775</v>
      </c>
      <c r="AH33" s="37">
        <v>49.53475</v>
      </c>
      <c r="AI33" s="37">
        <v>0.25</v>
      </c>
      <c r="AJ33" s="37">
        <v>6.372999999999999</v>
      </c>
      <c r="AK33" s="37">
        <v>2.305</v>
      </c>
      <c r="AL33" s="37">
        <v>0.25</v>
      </c>
      <c r="AM33" s="37">
        <v>0.25</v>
      </c>
      <c r="AN33" s="37">
        <v>8.4295</v>
      </c>
      <c r="AO33" s="37">
        <v>0.25</v>
      </c>
      <c r="AP33" s="37">
        <v>2.2757500000000004</v>
      </c>
      <c r="AQ33" s="37">
        <v>0.5995000000000008</v>
      </c>
      <c r="AR33" s="37">
        <v>8.285499999999999</v>
      </c>
      <c r="AS33" s="37">
        <v>13.65175</v>
      </c>
      <c r="AU33" s="34">
        <f t="shared" si="89"/>
        <v>0.09319500077</v>
      </c>
      <c r="AX33" s="62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4">
        <f t="shared" si="91"/>
        <v>8</v>
      </c>
      <c r="B34" s="16">
        <f t="shared" si="84"/>
        <v>1</v>
      </c>
      <c r="C34" s="7">
        <v>0.0</v>
      </c>
      <c r="D34" s="34">
        <f t="shared" si="85"/>
        <v>1</v>
      </c>
      <c r="E34" s="34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37">
        <v>23.76775</v>
      </c>
      <c r="R34" s="37">
        <v>23.76775</v>
      </c>
      <c r="S34" s="37">
        <v>23.76775</v>
      </c>
      <c r="T34" s="37">
        <v>23.76775</v>
      </c>
      <c r="U34" s="37">
        <v>23.76775</v>
      </c>
      <c r="V34" s="37">
        <v>23.76775</v>
      </c>
      <c r="W34" s="37">
        <v>23.76775</v>
      </c>
      <c r="X34" s="37">
        <v>23.76775</v>
      </c>
      <c r="Z34" s="30">
        <v>8.035749999999997</v>
      </c>
      <c r="AA34" s="37">
        <v>0.25</v>
      </c>
      <c r="AB34" s="37">
        <v>4.5729999999999995</v>
      </c>
      <c r="AC34" s="37">
        <v>25.10425</v>
      </c>
      <c r="AD34" s="37">
        <v>0.25</v>
      </c>
      <c r="AE34" s="37">
        <v>60.37975</v>
      </c>
      <c r="AF34" s="37">
        <v>0.25</v>
      </c>
      <c r="AG34" s="37">
        <v>23.76775</v>
      </c>
      <c r="AH34" s="37">
        <v>49.53475</v>
      </c>
      <c r="AI34" s="37">
        <v>0.25</v>
      </c>
      <c r="AJ34" s="37">
        <v>6.372999999999999</v>
      </c>
      <c r="AK34" s="37">
        <v>2.305</v>
      </c>
      <c r="AL34" s="37">
        <v>0.25</v>
      </c>
      <c r="AM34" s="37">
        <v>0.25</v>
      </c>
      <c r="AN34" s="37">
        <v>8.4295</v>
      </c>
      <c r="AO34" s="37">
        <v>0.25</v>
      </c>
      <c r="AP34" s="37">
        <v>2.2757500000000004</v>
      </c>
      <c r="AQ34" s="37">
        <v>0.5995000000000008</v>
      </c>
      <c r="AR34" s="37">
        <v>8.285499999999999</v>
      </c>
      <c r="AS34" s="37">
        <v>13.65175</v>
      </c>
      <c r="AU34" s="34">
        <f t="shared" si="89"/>
        <v>0.09319500077</v>
      </c>
      <c r="AX34" s="62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4">
        <f t="shared" si="91"/>
        <v>9</v>
      </c>
      <c r="B35" s="16">
        <f t="shared" si="84"/>
        <v>1</v>
      </c>
      <c r="C35" s="7">
        <v>0.0</v>
      </c>
      <c r="D35" s="34">
        <f t="shared" si="85"/>
        <v>1</v>
      </c>
      <c r="E35" s="34">
        <f t="shared" si="86"/>
        <v>0</v>
      </c>
      <c r="F35" s="15">
        <f t="shared" si="87"/>
        <v>0</v>
      </c>
      <c r="H35" s="34">
        <f>average(F27:F46)</f>
        <v>0.01866888835</v>
      </c>
      <c r="J35" s="7">
        <v>0.01</v>
      </c>
      <c r="L35" s="62">
        <f>H35*J35</f>
        <v>0.0001866888835</v>
      </c>
      <c r="Q35" s="37">
        <v>49.53475</v>
      </c>
      <c r="R35" s="37">
        <v>49.53475</v>
      </c>
      <c r="S35" s="37">
        <v>49.53475</v>
      </c>
      <c r="T35" s="37">
        <v>49.53475</v>
      </c>
      <c r="U35" s="37">
        <v>49.53475</v>
      </c>
      <c r="V35" s="37">
        <v>49.53475</v>
      </c>
      <c r="W35" s="37">
        <v>49.53475</v>
      </c>
      <c r="X35" s="37">
        <v>49.53475</v>
      </c>
    </row>
    <row r="36">
      <c r="A36" s="34">
        <f t="shared" si="91"/>
        <v>10</v>
      </c>
      <c r="B36" s="16">
        <f t="shared" si="84"/>
        <v>0.851952802</v>
      </c>
      <c r="C36" s="7">
        <v>0.0</v>
      </c>
      <c r="D36" s="34">
        <f t="shared" si="85"/>
        <v>0.851952802</v>
      </c>
      <c r="E36" s="34">
        <f t="shared" si="86"/>
        <v>0.1261292252</v>
      </c>
      <c r="F36" s="15">
        <f t="shared" si="87"/>
        <v>0.1074561468</v>
      </c>
      <c r="Q36" s="37">
        <v>0.25</v>
      </c>
      <c r="R36" s="37">
        <v>0.25</v>
      </c>
      <c r="S36" s="37">
        <v>0.25</v>
      </c>
      <c r="T36" s="37">
        <v>0.25</v>
      </c>
      <c r="U36" s="37">
        <v>0.25</v>
      </c>
      <c r="V36" s="37">
        <v>0.25</v>
      </c>
      <c r="W36" s="37">
        <v>0.25</v>
      </c>
      <c r="X36" s="37">
        <v>0.25</v>
      </c>
    </row>
    <row r="37">
      <c r="A37" s="34">
        <f t="shared" si="91"/>
        <v>11</v>
      </c>
      <c r="B37" s="16">
        <f t="shared" si="84"/>
        <v>1</v>
      </c>
      <c r="C37" s="7">
        <v>1.0</v>
      </c>
      <c r="D37" s="34">
        <f t="shared" si="85"/>
        <v>0</v>
      </c>
      <c r="E37" s="34">
        <f t="shared" si="86"/>
        <v>0</v>
      </c>
      <c r="F37" s="15">
        <f t="shared" si="87"/>
        <v>0</v>
      </c>
      <c r="Q37" s="37">
        <v>6.372999999999999</v>
      </c>
      <c r="R37" s="37">
        <v>6.372999999999999</v>
      </c>
      <c r="S37" s="37">
        <v>6.372999999999999</v>
      </c>
      <c r="T37" s="37">
        <v>6.372999999999999</v>
      </c>
      <c r="U37" s="37">
        <v>6.372999999999999</v>
      </c>
      <c r="V37" s="37">
        <v>6.372999999999999</v>
      </c>
      <c r="W37" s="37">
        <v>6.372999999999999</v>
      </c>
      <c r="X37" s="37">
        <v>6.372999999999999</v>
      </c>
      <c r="AA37" s="14" t="s">
        <v>14</v>
      </c>
    </row>
    <row r="38">
      <c r="A38" s="34">
        <f t="shared" si="91"/>
        <v>12</v>
      </c>
      <c r="B38" s="16">
        <f t="shared" si="84"/>
        <v>0.9999992324</v>
      </c>
      <c r="C38" s="7">
        <v>1.0</v>
      </c>
      <c r="D38" s="34">
        <f t="shared" si="85"/>
        <v>-0.0000007675971639</v>
      </c>
      <c r="E38" s="34">
        <f t="shared" si="86"/>
        <v>0.0000007675965747</v>
      </c>
      <c r="F38" s="15">
        <f t="shared" si="87"/>
        <v>0</v>
      </c>
      <c r="H38" s="9" t="s">
        <v>30</v>
      </c>
      <c r="Q38" s="37">
        <v>2.305</v>
      </c>
      <c r="R38" s="37">
        <v>2.305</v>
      </c>
      <c r="S38" s="37">
        <v>2.305</v>
      </c>
      <c r="T38" s="37">
        <v>2.305</v>
      </c>
      <c r="U38" s="37">
        <v>2.305</v>
      </c>
      <c r="V38" s="37">
        <v>2.305</v>
      </c>
      <c r="W38" s="37">
        <v>2.305</v>
      </c>
      <c r="X38" s="37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4">
        <f t="shared" si="91"/>
        <v>13</v>
      </c>
      <c r="B39" s="16">
        <f t="shared" si="84"/>
        <v>0.851952802</v>
      </c>
      <c r="C39" s="7">
        <v>1.0</v>
      </c>
      <c r="D39" s="34">
        <f t="shared" si="85"/>
        <v>-0.148047198</v>
      </c>
      <c r="E39" s="34">
        <f t="shared" si="86"/>
        <v>0.1261292252</v>
      </c>
      <c r="F39" s="15">
        <f t="shared" si="87"/>
        <v>-0.01867307838</v>
      </c>
      <c r="H39" s="10">
        <f>H32-L35</f>
        <v>0.2498133111</v>
      </c>
      <c r="Q39" s="37">
        <v>0.25</v>
      </c>
      <c r="R39" s="37">
        <v>0.25</v>
      </c>
      <c r="S39" s="37">
        <v>0.25</v>
      </c>
      <c r="T39" s="37">
        <v>0.25</v>
      </c>
      <c r="U39" s="37">
        <v>0.25</v>
      </c>
      <c r="V39" s="37">
        <v>0.25</v>
      </c>
      <c r="W39" s="37">
        <v>0.25</v>
      </c>
      <c r="X39" s="37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4">
        <f t="shared" si="91"/>
        <v>14</v>
      </c>
      <c r="B40" s="16">
        <f t="shared" si="84"/>
        <v>0.851952802</v>
      </c>
      <c r="C40" s="7">
        <v>1.0</v>
      </c>
      <c r="D40" s="34">
        <f t="shared" si="85"/>
        <v>-0.148047198</v>
      </c>
      <c r="E40" s="34">
        <f t="shared" si="86"/>
        <v>0.1261292252</v>
      </c>
      <c r="F40" s="15">
        <f t="shared" si="87"/>
        <v>-0.01867307838</v>
      </c>
      <c r="Q40" s="37">
        <v>0.25</v>
      </c>
      <c r="R40" s="37">
        <v>0.25</v>
      </c>
      <c r="S40" s="37">
        <v>0.25</v>
      </c>
      <c r="T40" s="37">
        <v>0.25</v>
      </c>
      <c r="U40" s="37">
        <v>0.25</v>
      </c>
      <c r="V40" s="37">
        <v>0.25</v>
      </c>
      <c r="W40" s="37">
        <v>0.25</v>
      </c>
      <c r="X40" s="37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4">
        <f t="shared" si="91"/>
        <v>15</v>
      </c>
      <c r="B41" s="16">
        <f t="shared" si="84"/>
        <v>1</v>
      </c>
      <c r="C41" s="7">
        <v>1.0</v>
      </c>
      <c r="D41" s="34">
        <f t="shared" si="85"/>
        <v>0</v>
      </c>
      <c r="E41" s="34">
        <f t="shared" si="86"/>
        <v>0</v>
      </c>
      <c r="F41" s="15">
        <f t="shared" si="87"/>
        <v>0</v>
      </c>
      <c r="Q41" s="37">
        <v>8.4295</v>
      </c>
      <c r="R41" s="37">
        <v>8.4295</v>
      </c>
      <c r="S41" s="37">
        <v>8.4295</v>
      </c>
      <c r="T41" s="37">
        <v>8.4295</v>
      </c>
      <c r="U41" s="37">
        <v>8.4295</v>
      </c>
      <c r="V41" s="37">
        <v>8.4295</v>
      </c>
      <c r="W41" s="37">
        <v>8.4295</v>
      </c>
      <c r="X41" s="37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4">
        <f t="shared" si="91"/>
        <v>16</v>
      </c>
      <c r="B42" s="16">
        <f t="shared" si="84"/>
        <v>0.851952802</v>
      </c>
      <c r="C42" s="7">
        <v>1.0</v>
      </c>
      <c r="D42" s="34">
        <f t="shared" si="85"/>
        <v>-0.148047198</v>
      </c>
      <c r="E42" s="34">
        <f t="shared" si="86"/>
        <v>0.1261292252</v>
      </c>
      <c r="F42" s="15">
        <f t="shared" si="87"/>
        <v>-0.01867307838</v>
      </c>
      <c r="Q42" s="37">
        <v>0.25</v>
      </c>
      <c r="R42" s="37">
        <v>0.25</v>
      </c>
      <c r="S42" s="37">
        <v>0.25</v>
      </c>
      <c r="T42" s="37">
        <v>0.25</v>
      </c>
      <c r="U42" s="37">
        <v>0.25</v>
      </c>
      <c r="V42" s="37">
        <v>0.25</v>
      </c>
      <c r="W42" s="37">
        <v>0.25</v>
      </c>
      <c r="X42" s="37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4">
        <f t="shared" si="91"/>
        <v>17</v>
      </c>
      <c r="B43" s="16">
        <f t="shared" si="84"/>
        <v>0.9999990851</v>
      </c>
      <c r="C43" s="7">
        <v>1.0</v>
      </c>
      <c r="D43" s="34">
        <f t="shared" si="85"/>
        <v>-0.0000009148543955</v>
      </c>
      <c r="E43" s="34">
        <f t="shared" si="86"/>
        <v>0.0000009148535585</v>
      </c>
      <c r="F43" s="15">
        <f t="shared" si="87"/>
        <v>0</v>
      </c>
      <c r="Q43" s="37">
        <v>2.2757500000000004</v>
      </c>
      <c r="R43" s="37">
        <v>2.2757500000000004</v>
      </c>
      <c r="S43" s="37">
        <v>2.2757500000000004</v>
      </c>
      <c r="T43" s="37">
        <v>2.2757500000000004</v>
      </c>
      <c r="U43" s="37">
        <v>2.2757500000000004</v>
      </c>
      <c r="V43" s="37">
        <v>2.2757500000000004</v>
      </c>
      <c r="W43" s="37">
        <v>2.2757500000000004</v>
      </c>
      <c r="X43" s="37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4">
        <f t="shared" si="91"/>
        <v>18</v>
      </c>
      <c r="B44" s="16">
        <f t="shared" si="84"/>
        <v>0.9791023608</v>
      </c>
      <c r="C44" s="7">
        <v>1.0</v>
      </c>
      <c r="D44" s="34">
        <f t="shared" si="85"/>
        <v>-0.02089763916</v>
      </c>
      <c r="E44" s="34">
        <f t="shared" si="86"/>
        <v>0.02046092783</v>
      </c>
      <c r="F44" s="15">
        <f t="shared" si="87"/>
        <v>-0.0004275850867</v>
      </c>
      <c r="H44" s="7" t="s">
        <v>31</v>
      </c>
      <c r="Q44" s="37">
        <v>0.5995000000000008</v>
      </c>
      <c r="R44" s="37">
        <v>0.5995000000000008</v>
      </c>
      <c r="S44" s="37">
        <v>0.5995000000000008</v>
      </c>
      <c r="T44" s="37">
        <v>0.5995000000000008</v>
      </c>
      <c r="U44" s="37">
        <v>0.5995000000000008</v>
      </c>
      <c r="V44" s="37">
        <v>0.5995000000000008</v>
      </c>
      <c r="W44" s="37">
        <v>0.5995000000000008</v>
      </c>
      <c r="X44" s="37">
        <v>0.5995000000000008</v>
      </c>
    </row>
    <row r="45">
      <c r="A45" s="34">
        <f t="shared" si="91"/>
        <v>19</v>
      </c>
      <c r="B45" s="16">
        <f t="shared" si="84"/>
        <v>1</v>
      </c>
      <c r="C45" s="7">
        <v>1.0</v>
      </c>
      <c r="D45" s="34">
        <f t="shared" si="85"/>
        <v>0</v>
      </c>
      <c r="E45" s="34">
        <f t="shared" si="86"/>
        <v>0</v>
      </c>
      <c r="F45" s="15">
        <f t="shared" si="87"/>
        <v>0</v>
      </c>
      <c r="Q45" s="37">
        <v>8.285499999999999</v>
      </c>
      <c r="R45" s="37">
        <v>8.285499999999999</v>
      </c>
      <c r="S45" s="37">
        <v>8.285499999999999</v>
      </c>
      <c r="T45" s="37">
        <v>8.285499999999999</v>
      </c>
      <c r="U45" s="37">
        <v>8.285499999999999</v>
      </c>
      <c r="V45" s="37">
        <v>8.285499999999999</v>
      </c>
      <c r="W45" s="37">
        <v>8.285499999999999</v>
      </c>
      <c r="X45" s="37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4">
        <f t="shared" si="91"/>
        <v>20</v>
      </c>
      <c r="B46" s="16">
        <f t="shared" si="84"/>
        <v>1</v>
      </c>
      <c r="C46" s="7">
        <v>1.0</v>
      </c>
      <c r="D46" s="34">
        <f t="shared" si="85"/>
        <v>0</v>
      </c>
      <c r="E46" s="34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37">
        <v>13.65175</v>
      </c>
      <c r="R46" s="37">
        <v>13.65175</v>
      </c>
      <c r="S46" s="37">
        <v>13.65175</v>
      </c>
      <c r="T46" s="37">
        <v>13.65175</v>
      </c>
      <c r="U46" s="37">
        <v>13.65175</v>
      </c>
      <c r="V46" s="37">
        <v>13.65175</v>
      </c>
      <c r="W46" s="37">
        <v>13.65175</v>
      </c>
      <c r="X46" s="37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31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24</v>
      </c>
      <c r="M50" s="7" t="s">
        <v>32</v>
      </c>
      <c r="V50" s="12" t="s">
        <v>8</v>
      </c>
      <c r="W50" s="13"/>
      <c r="AE50" s="7" t="s">
        <v>33</v>
      </c>
      <c r="AN50" s="7" t="s">
        <v>24</v>
      </c>
      <c r="AW50" s="10"/>
      <c r="AX50" s="10"/>
      <c r="AY50" s="10"/>
      <c r="AZ50" s="10"/>
      <c r="BA50" s="10"/>
      <c r="BB50" s="10"/>
      <c r="BC50" s="10"/>
      <c r="BD50" s="10"/>
      <c r="BF50" s="7" t="s">
        <v>34</v>
      </c>
      <c r="BO50" s="7" t="s">
        <v>8</v>
      </c>
      <c r="BT50" s="7" t="s">
        <v>35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5"/>
      <c r="M51" s="66">
        <f t="shared" ref="M51:T51" si="92">D$51*$B51</f>
        <v>0</v>
      </c>
      <c r="N51" s="66">
        <f t="shared" si="92"/>
        <v>0</v>
      </c>
      <c r="O51" s="66">
        <f t="shared" si="92"/>
        <v>0</v>
      </c>
      <c r="P51" s="66">
        <f t="shared" si="92"/>
        <v>0</v>
      </c>
      <c r="Q51" s="66">
        <f t="shared" si="92"/>
        <v>0</v>
      </c>
      <c r="R51" s="66">
        <f t="shared" si="92"/>
        <v>0</v>
      </c>
      <c r="S51" s="66">
        <f t="shared" si="92"/>
        <v>0</v>
      </c>
      <c r="T51" s="66">
        <f t="shared" si="92"/>
        <v>0</v>
      </c>
      <c r="U51" s="66"/>
      <c r="V51" s="30">
        <v>8.035749999999997</v>
      </c>
      <c r="W51" s="30">
        <v>8.035749999999997</v>
      </c>
      <c r="X51" s="30">
        <v>8.035749999999997</v>
      </c>
      <c r="Y51" s="30">
        <v>8.035749999999997</v>
      </c>
      <c r="Z51" s="30">
        <v>8.035749999999997</v>
      </c>
      <c r="AA51" s="30">
        <v>8.035749999999997</v>
      </c>
      <c r="AB51" s="30">
        <v>8.035749999999997</v>
      </c>
      <c r="AC51" s="30">
        <v>8.035749999999997</v>
      </c>
      <c r="AE51" s="34">
        <f t="shared" ref="AE51:AL51" si="93">if(V51&gt;0,1,0)</f>
        <v>1</v>
      </c>
      <c r="AF51" s="34">
        <f t="shared" si="93"/>
        <v>1</v>
      </c>
      <c r="AG51" s="34">
        <f t="shared" si="93"/>
        <v>1</v>
      </c>
      <c r="AH51" s="34">
        <f t="shared" si="93"/>
        <v>1</v>
      </c>
      <c r="AI51" s="34">
        <f t="shared" si="93"/>
        <v>1</v>
      </c>
      <c r="AJ51" s="34">
        <f t="shared" si="93"/>
        <v>1</v>
      </c>
      <c r="AK51" s="34">
        <f t="shared" si="93"/>
        <v>1</v>
      </c>
      <c r="AL51" s="34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4">
        <f t="shared" ref="BF51:BM51" si="95">average(AN51:AN70)</f>
        <v>0.01400166626</v>
      </c>
      <c r="BG51" s="34">
        <f t="shared" si="95"/>
        <v>0.01400166626</v>
      </c>
      <c r="BH51" s="34">
        <f t="shared" si="95"/>
        <v>0.01400166626</v>
      </c>
      <c r="BI51" s="34">
        <f t="shared" si="95"/>
        <v>0.01400166626</v>
      </c>
      <c r="BJ51" s="34">
        <f t="shared" si="95"/>
        <v>0.01400166626</v>
      </c>
      <c r="BK51" s="34">
        <f t="shared" si="95"/>
        <v>0.01400166626</v>
      </c>
      <c r="BL51" s="34">
        <f t="shared" si="95"/>
        <v>0.01400166626</v>
      </c>
      <c r="BM51" s="34">
        <f t="shared" si="95"/>
        <v>0.01400166626</v>
      </c>
      <c r="BN51" s="7" t="s">
        <v>14</v>
      </c>
      <c r="BO51" s="24">
        <v>2.595249999999999</v>
      </c>
      <c r="BP51" s="34">
        <v>2.595249999999999</v>
      </c>
      <c r="BQ51" s="34">
        <v>2.595249999999999</v>
      </c>
      <c r="BR51" s="34">
        <v>2.595249999999999</v>
      </c>
      <c r="BS51" s="7" t="s">
        <v>14</v>
      </c>
      <c r="BT51" s="24">
        <v>2.595249999999999</v>
      </c>
      <c r="BU51" s="24">
        <v>0.0</v>
      </c>
      <c r="BV51" s="24">
        <v>1.4409999999999998</v>
      </c>
      <c r="BW51" s="24">
        <v>8.28475</v>
      </c>
      <c r="BX51" s="34">
        <v>0.0</v>
      </c>
      <c r="BY51" s="34">
        <v>20.04325</v>
      </c>
      <c r="BZ51" s="34">
        <v>0.0</v>
      </c>
      <c r="CA51" s="34">
        <v>7.83925</v>
      </c>
      <c r="CB51" s="34">
        <v>16.428250000000002</v>
      </c>
      <c r="CC51" s="34">
        <v>0.0</v>
      </c>
      <c r="CD51" s="34">
        <v>2.041</v>
      </c>
      <c r="CE51" s="34">
        <v>0.685</v>
      </c>
      <c r="CF51" s="34">
        <v>0.0</v>
      </c>
      <c r="CG51" s="34">
        <v>0.0</v>
      </c>
      <c r="CH51" s="34">
        <v>2.7265</v>
      </c>
      <c r="CI51" s="34">
        <v>0.0</v>
      </c>
      <c r="CJ51" s="34">
        <v>0.6752500000000001</v>
      </c>
      <c r="CK51" s="34">
        <v>0.11650000000000027</v>
      </c>
      <c r="CL51" s="34">
        <v>2.6784999999999997</v>
      </c>
      <c r="CM51" s="34">
        <v>4.46725</v>
      </c>
    </row>
    <row r="52">
      <c r="A52" s="34">
        <f t="shared" ref="A52:A70" si="99">A51+1</f>
        <v>2</v>
      </c>
      <c r="B52" s="15">
        <v>0.10745614680786286</v>
      </c>
      <c r="L52" s="65"/>
      <c r="M52" s="66">
        <f t="shared" ref="M52:T52" si="96">D$51*$B52</f>
        <v>0.08059211011</v>
      </c>
      <c r="N52" s="66">
        <f t="shared" si="96"/>
        <v>0.08059211011</v>
      </c>
      <c r="O52" s="66">
        <f t="shared" si="96"/>
        <v>0.08059211011</v>
      </c>
      <c r="P52" s="66">
        <f t="shared" si="96"/>
        <v>0.08059211011</v>
      </c>
      <c r="Q52" s="66">
        <f t="shared" si="96"/>
        <v>0.08059211011</v>
      </c>
      <c r="R52" s="66">
        <f t="shared" si="96"/>
        <v>0.08059211011</v>
      </c>
      <c r="S52" s="66">
        <f t="shared" si="96"/>
        <v>0.08059211011</v>
      </c>
      <c r="T52" s="66">
        <f t="shared" si="96"/>
        <v>0.08059211011</v>
      </c>
      <c r="U52" s="66"/>
      <c r="V52" s="37">
        <v>0.25</v>
      </c>
      <c r="W52" s="37">
        <v>0.25</v>
      </c>
      <c r="X52" s="37">
        <v>0.25</v>
      </c>
      <c r="Y52" s="37">
        <v>0.25</v>
      </c>
      <c r="Z52" s="37">
        <v>0.25</v>
      </c>
      <c r="AA52" s="37">
        <v>0.25</v>
      </c>
      <c r="AB52" s="37">
        <v>0.25</v>
      </c>
      <c r="AC52" s="37">
        <v>0.25</v>
      </c>
      <c r="AE52" s="34">
        <f t="shared" ref="AE52:AL52" si="97">if(V52&gt;0,1,0)</f>
        <v>1</v>
      </c>
      <c r="AF52" s="34">
        <f t="shared" si="97"/>
        <v>1</v>
      </c>
      <c r="AG52" s="34">
        <f t="shared" si="97"/>
        <v>1</v>
      </c>
      <c r="AH52" s="34">
        <f t="shared" si="97"/>
        <v>1</v>
      </c>
      <c r="AI52" s="34">
        <f t="shared" si="97"/>
        <v>1</v>
      </c>
      <c r="AJ52" s="34">
        <f t="shared" si="97"/>
        <v>1</v>
      </c>
      <c r="AK52" s="34">
        <f t="shared" si="97"/>
        <v>1</v>
      </c>
      <c r="AL52" s="34">
        <f t="shared" si="97"/>
        <v>1</v>
      </c>
      <c r="AM52" s="67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4">
        <v>0.0</v>
      </c>
      <c r="BP52" s="34">
        <v>0.0</v>
      </c>
      <c r="BQ52" s="34">
        <v>0.0</v>
      </c>
      <c r="BR52" s="34">
        <v>0.0</v>
      </c>
      <c r="BS52" s="7" t="s">
        <v>14</v>
      </c>
      <c r="BT52" s="34">
        <v>2.595249999999999</v>
      </c>
      <c r="BU52" s="34">
        <v>0.0</v>
      </c>
      <c r="BV52" s="34">
        <v>1.4409999999999998</v>
      </c>
      <c r="BW52" s="34">
        <v>8.28475</v>
      </c>
      <c r="BX52" s="34">
        <v>0.0</v>
      </c>
      <c r="BY52" s="34">
        <v>20.04325</v>
      </c>
      <c r="BZ52" s="34">
        <v>0.0</v>
      </c>
      <c r="CA52" s="34">
        <v>7.83925</v>
      </c>
      <c r="CB52" s="34">
        <v>16.428250000000002</v>
      </c>
      <c r="CC52" s="34">
        <v>0.0</v>
      </c>
      <c r="CD52" s="34">
        <v>2.041</v>
      </c>
      <c r="CE52" s="34">
        <v>0.685</v>
      </c>
      <c r="CF52" s="34">
        <v>0.0</v>
      </c>
      <c r="CG52" s="34">
        <v>0.0</v>
      </c>
      <c r="CH52" s="34">
        <v>2.7265</v>
      </c>
      <c r="CI52" s="34">
        <v>0.0</v>
      </c>
      <c r="CJ52" s="34">
        <v>0.6752500000000001</v>
      </c>
      <c r="CK52" s="34">
        <v>0.11650000000000027</v>
      </c>
      <c r="CL52" s="34">
        <v>2.6784999999999997</v>
      </c>
      <c r="CM52" s="34">
        <v>4.46725</v>
      </c>
    </row>
    <row r="53">
      <c r="A53" s="34">
        <f t="shared" si="99"/>
        <v>3</v>
      </c>
      <c r="B53" s="15">
        <v>9.445777493492988E-13</v>
      </c>
      <c r="J53" s="46"/>
      <c r="L53" s="65"/>
      <c r="M53" s="66">
        <f t="shared" ref="M53:T53" si="100">D$51*$B53</f>
        <v>0</v>
      </c>
      <c r="N53" s="66">
        <f t="shared" si="100"/>
        <v>0</v>
      </c>
      <c r="O53" s="66">
        <f t="shared" si="100"/>
        <v>0</v>
      </c>
      <c r="P53" s="66">
        <f t="shared" si="100"/>
        <v>0</v>
      </c>
      <c r="Q53" s="66">
        <f t="shared" si="100"/>
        <v>0</v>
      </c>
      <c r="R53" s="66">
        <f t="shared" si="100"/>
        <v>0</v>
      </c>
      <c r="S53" s="66">
        <f t="shared" si="100"/>
        <v>0</v>
      </c>
      <c r="T53" s="66">
        <f t="shared" si="100"/>
        <v>0</v>
      </c>
      <c r="U53" s="66"/>
      <c r="V53" s="37">
        <v>4.5729999999999995</v>
      </c>
      <c r="W53" s="37">
        <v>4.5729999999999995</v>
      </c>
      <c r="X53" s="37">
        <v>4.5729999999999995</v>
      </c>
      <c r="Y53" s="37">
        <v>4.5729999999999995</v>
      </c>
      <c r="Z53" s="37">
        <v>4.5729999999999995</v>
      </c>
      <c r="AA53" s="37">
        <v>4.5729999999999995</v>
      </c>
      <c r="AB53" s="37">
        <v>4.5729999999999995</v>
      </c>
      <c r="AC53" s="37">
        <v>4.5729999999999995</v>
      </c>
      <c r="AE53" s="34">
        <f t="shared" ref="AE53:AL53" si="101">if(V53&gt;0,1,0)</f>
        <v>1</v>
      </c>
      <c r="AF53" s="34">
        <f t="shared" si="101"/>
        <v>1</v>
      </c>
      <c r="AG53" s="34">
        <f t="shared" si="101"/>
        <v>1</v>
      </c>
      <c r="AH53" s="34">
        <f t="shared" si="101"/>
        <v>1</v>
      </c>
      <c r="AI53" s="34">
        <f t="shared" si="101"/>
        <v>1</v>
      </c>
      <c r="AJ53" s="34">
        <f t="shared" si="101"/>
        <v>1</v>
      </c>
      <c r="AK53" s="34">
        <f t="shared" si="101"/>
        <v>1</v>
      </c>
      <c r="AL53" s="34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27</v>
      </c>
      <c r="BO53" s="24">
        <v>1.4409999999999998</v>
      </c>
      <c r="BP53" s="34">
        <v>1.4409999999999998</v>
      </c>
      <c r="BQ53" s="34">
        <v>1.4409999999999998</v>
      </c>
      <c r="BR53" s="34">
        <v>1.4409999999999998</v>
      </c>
      <c r="BS53" s="7" t="s">
        <v>14</v>
      </c>
      <c r="BT53" s="34">
        <v>2.595249999999999</v>
      </c>
      <c r="BU53" s="34">
        <v>0.0</v>
      </c>
      <c r="BV53" s="34">
        <v>1.4409999999999998</v>
      </c>
      <c r="BW53" s="34">
        <v>8.28475</v>
      </c>
      <c r="BX53" s="34">
        <v>0.0</v>
      </c>
      <c r="BY53" s="34">
        <v>20.04325</v>
      </c>
      <c r="BZ53" s="34">
        <v>0.0</v>
      </c>
      <c r="CA53" s="34">
        <v>7.83925</v>
      </c>
      <c r="CB53" s="34">
        <v>16.428250000000002</v>
      </c>
      <c r="CC53" s="34">
        <v>0.0</v>
      </c>
      <c r="CD53" s="34">
        <v>2.041</v>
      </c>
      <c r="CE53" s="34">
        <v>0.685</v>
      </c>
      <c r="CF53" s="34">
        <v>0.0</v>
      </c>
      <c r="CG53" s="34">
        <v>0.0</v>
      </c>
      <c r="CH53" s="34">
        <v>2.7265</v>
      </c>
      <c r="CI53" s="34">
        <v>0.0</v>
      </c>
      <c r="CJ53" s="34">
        <v>0.6752500000000001</v>
      </c>
      <c r="CK53" s="34">
        <v>0.11650000000000027</v>
      </c>
      <c r="CL53" s="34">
        <v>2.6784999999999997</v>
      </c>
      <c r="CM53" s="34">
        <v>4.46725</v>
      </c>
    </row>
    <row r="54">
      <c r="A54" s="34">
        <f t="shared" si="99"/>
        <v>4</v>
      </c>
      <c r="B54" s="15">
        <v>0.0</v>
      </c>
      <c r="J54" s="52"/>
      <c r="L54" s="65"/>
      <c r="M54" s="66">
        <f t="shared" ref="M54:T54" si="103">D$51*$B54</f>
        <v>0</v>
      </c>
      <c r="N54" s="66">
        <f t="shared" si="103"/>
        <v>0</v>
      </c>
      <c r="O54" s="66">
        <f t="shared" si="103"/>
        <v>0</v>
      </c>
      <c r="P54" s="66">
        <f t="shared" si="103"/>
        <v>0</v>
      </c>
      <c r="Q54" s="66">
        <f t="shared" si="103"/>
        <v>0</v>
      </c>
      <c r="R54" s="66">
        <f t="shared" si="103"/>
        <v>0</v>
      </c>
      <c r="S54" s="66">
        <f t="shared" si="103"/>
        <v>0</v>
      </c>
      <c r="T54" s="66">
        <f t="shared" si="103"/>
        <v>0</v>
      </c>
      <c r="U54" s="66"/>
      <c r="V54" s="37">
        <v>25.10425</v>
      </c>
      <c r="W54" s="37">
        <v>25.10425</v>
      </c>
      <c r="X54" s="37">
        <v>25.10425</v>
      </c>
      <c r="Y54" s="37">
        <v>25.10425</v>
      </c>
      <c r="Z54" s="37">
        <v>25.10425</v>
      </c>
      <c r="AA54" s="37">
        <v>25.10425</v>
      </c>
      <c r="AB54" s="37">
        <v>25.10425</v>
      </c>
      <c r="AC54" s="37">
        <v>25.10425</v>
      </c>
      <c r="AE54" s="34">
        <f t="shared" ref="AE54:AL54" si="104">if(V54&gt;0,1,0)</f>
        <v>1</v>
      </c>
      <c r="AF54" s="34">
        <f t="shared" si="104"/>
        <v>1</v>
      </c>
      <c r="AG54" s="34">
        <f t="shared" si="104"/>
        <v>1</v>
      </c>
      <c r="AH54" s="34">
        <f t="shared" si="104"/>
        <v>1</v>
      </c>
      <c r="AI54" s="34">
        <f t="shared" si="104"/>
        <v>1</v>
      </c>
      <c r="AJ54" s="34">
        <f t="shared" si="104"/>
        <v>1</v>
      </c>
      <c r="AK54" s="34">
        <f t="shared" si="104"/>
        <v>1</v>
      </c>
      <c r="AL54" s="34">
        <f t="shared" si="104"/>
        <v>1</v>
      </c>
      <c r="AM54" s="67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4">
        <v>8.28475</v>
      </c>
      <c r="BP54" s="34">
        <v>8.28475</v>
      </c>
      <c r="BQ54" s="34">
        <v>8.28475</v>
      </c>
      <c r="BR54" s="34">
        <v>8.28475</v>
      </c>
      <c r="BS54" s="7" t="s">
        <v>14</v>
      </c>
      <c r="BT54" s="34">
        <v>2.595249999999999</v>
      </c>
      <c r="BU54" s="34">
        <v>0.0</v>
      </c>
      <c r="BV54" s="34">
        <v>1.4409999999999998</v>
      </c>
      <c r="BW54" s="34">
        <v>8.28475</v>
      </c>
      <c r="BX54" s="34">
        <v>0.0</v>
      </c>
      <c r="BY54" s="34">
        <v>20.04325</v>
      </c>
      <c r="BZ54" s="34">
        <v>0.0</v>
      </c>
      <c r="CA54" s="34">
        <v>7.83925</v>
      </c>
      <c r="CB54" s="34">
        <v>16.428250000000002</v>
      </c>
      <c r="CC54" s="34">
        <v>0.0</v>
      </c>
      <c r="CD54" s="34">
        <v>2.041</v>
      </c>
      <c r="CE54" s="34">
        <v>0.685</v>
      </c>
      <c r="CF54" s="34">
        <v>0.0</v>
      </c>
      <c r="CG54" s="34">
        <v>0.0</v>
      </c>
      <c r="CH54" s="34">
        <v>2.7265</v>
      </c>
      <c r="CI54" s="34">
        <v>0.0</v>
      </c>
      <c r="CJ54" s="34">
        <v>0.6752500000000001</v>
      </c>
      <c r="CK54" s="34">
        <v>0.11650000000000027</v>
      </c>
      <c r="CL54" s="34">
        <v>2.6784999999999997</v>
      </c>
      <c r="CM54" s="34">
        <v>4.46725</v>
      </c>
    </row>
    <row r="55">
      <c r="A55" s="34">
        <f t="shared" si="99"/>
        <v>5</v>
      </c>
      <c r="B55" s="15">
        <v>0.10745614680786286</v>
      </c>
      <c r="L55" s="66"/>
      <c r="M55" s="66">
        <f t="shared" ref="M55:T55" si="106">D$51*$B55</f>
        <v>0.08059211011</v>
      </c>
      <c r="N55" s="66">
        <f t="shared" si="106"/>
        <v>0.08059211011</v>
      </c>
      <c r="O55" s="66">
        <f t="shared" si="106"/>
        <v>0.08059211011</v>
      </c>
      <c r="P55" s="66">
        <f t="shared" si="106"/>
        <v>0.08059211011</v>
      </c>
      <c r="Q55" s="66">
        <f t="shared" si="106"/>
        <v>0.08059211011</v>
      </c>
      <c r="R55" s="66">
        <f t="shared" si="106"/>
        <v>0.08059211011</v>
      </c>
      <c r="S55" s="66">
        <f t="shared" si="106"/>
        <v>0.08059211011</v>
      </c>
      <c r="T55" s="66">
        <f t="shared" si="106"/>
        <v>0.08059211011</v>
      </c>
      <c r="U55" s="66"/>
      <c r="V55" s="37">
        <v>0.25</v>
      </c>
      <c r="W55" s="37">
        <v>0.25</v>
      </c>
      <c r="X55" s="37">
        <v>0.25</v>
      </c>
      <c r="Y55" s="37">
        <v>0.25</v>
      </c>
      <c r="Z55" s="37">
        <v>0.25</v>
      </c>
      <c r="AA55" s="37">
        <v>0.25</v>
      </c>
      <c r="AB55" s="37">
        <v>0.25</v>
      </c>
      <c r="AC55" s="37">
        <v>0.25</v>
      </c>
      <c r="AE55" s="34">
        <f t="shared" ref="AE55:AL55" si="107">if(V55&gt;0,1,0)</f>
        <v>1</v>
      </c>
      <c r="AF55" s="34">
        <f t="shared" si="107"/>
        <v>1</v>
      </c>
      <c r="AG55" s="34">
        <f t="shared" si="107"/>
        <v>1</v>
      </c>
      <c r="AH55" s="34">
        <f t="shared" si="107"/>
        <v>1</v>
      </c>
      <c r="AI55" s="34">
        <f t="shared" si="107"/>
        <v>1</v>
      </c>
      <c r="AJ55" s="34">
        <f t="shared" si="107"/>
        <v>1</v>
      </c>
      <c r="AK55" s="34">
        <f t="shared" si="107"/>
        <v>1</v>
      </c>
      <c r="AL55" s="34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4">
        <f t="shared" ref="BF55:BM55" si="109">BF51*$BF$53</f>
        <v>0.0001400166626</v>
      </c>
      <c r="BG55" s="34">
        <f t="shared" si="109"/>
        <v>0.0001400166626</v>
      </c>
      <c r="BH55" s="34">
        <f t="shared" si="109"/>
        <v>0.0001400166626</v>
      </c>
      <c r="BI55" s="34">
        <f t="shared" si="109"/>
        <v>0.0001400166626</v>
      </c>
      <c r="BJ55" s="34">
        <f t="shared" si="109"/>
        <v>0.0001400166626</v>
      </c>
      <c r="BK55" s="34">
        <f t="shared" si="109"/>
        <v>0.0001400166626</v>
      </c>
      <c r="BL55" s="34">
        <f t="shared" si="109"/>
        <v>0.0001400166626</v>
      </c>
      <c r="BM55" s="34">
        <f t="shared" si="109"/>
        <v>0.0001400166626</v>
      </c>
      <c r="BO55" s="34">
        <v>0.0</v>
      </c>
      <c r="BP55" s="34">
        <v>0.0</v>
      </c>
      <c r="BQ55" s="34">
        <v>0.0</v>
      </c>
      <c r="BR55" s="34">
        <v>0.0</v>
      </c>
    </row>
    <row r="56">
      <c r="A56" s="34">
        <f t="shared" si="99"/>
        <v>6</v>
      </c>
      <c r="B56" s="15">
        <v>0.0</v>
      </c>
      <c r="L56" s="66"/>
      <c r="M56" s="66">
        <f t="shared" ref="M56:T56" si="110">D$51*$B56</f>
        <v>0</v>
      </c>
      <c r="N56" s="66">
        <f t="shared" si="110"/>
        <v>0</v>
      </c>
      <c r="O56" s="66">
        <f t="shared" si="110"/>
        <v>0</v>
      </c>
      <c r="P56" s="66">
        <f t="shared" si="110"/>
        <v>0</v>
      </c>
      <c r="Q56" s="66">
        <f t="shared" si="110"/>
        <v>0</v>
      </c>
      <c r="R56" s="66">
        <f t="shared" si="110"/>
        <v>0</v>
      </c>
      <c r="S56" s="66">
        <f t="shared" si="110"/>
        <v>0</v>
      </c>
      <c r="T56" s="66">
        <f t="shared" si="110"/>
        <v>0</v>
      </c>
      <c r="U56" s="66"/>
      <c r="V56" s="37">
        <v>60.37975</v>
      </c>
      <c r="W56" s="37">
        <v>60.37975</v>
      </c>
      <c r="X56" s="37">
        <v>60.37975</v>
      </c>
      <c r="Y56" s="37">
        <v>60.37975</v>
      </c>
      <c r="Z56" s="37">
        <v>60.37975</v>
      </c>
      <c r="AA56" s="37">
        <v>60.37975</v>
      </c>
      <c r="AB56" s="37">
        <v>60.37975</v>
      </c>
      <c r="AC56" s="37">
        <v>60.37975</v>
      </c>
      <c r="AE56" s="34">
        <f t="shared" ref="AE56:AL56" si="111">if(V56&gt;0,1,0)</f>
        <v>1</v>
      </c>
      <c r="AF56" s="34">
        <f t="shared" si="111"/>
        <v>1</v>
      </c>
      <c r="AG56" s="34">
        <f t="shared" si="111"/>
        <v>1</v>
      </c>
      <c r="AH56" s="34">
        <f t="shared" si="111"/>
        <v>1</v>
      </c>
      <c r="AI56" s="34">
        <f t="shared" si="111"/>
        <v>1</v>
      </c>
      <c r="AJ56" s="34">
        <f t="shared" si="111"/>
        <v>1</v>
      </c>
      <c r="AK56" s="34">
        <f t="shared" si="111"/>
        <v>1</v>
      </c>
      <c r="AL56" s="34">
        <f t="shared" si="111"/>
        <v>1</v>
      </c>
      <c r="AM56" s="67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68" t="s">
        <v>30</v>
      </c>
      <c r="BG56" s="69"/>
      <c r="BH56" s="69"/>
      <c r="BI56" s="69"/>
      <c r="BJ56" s="69"/>
      <c r="BK56" s="69"/>
      <c r="BL56" s="69"/>
      <c r="BM56" s="69"/>
      <c r="BO56" s="34">
        <v>20.04325</v>
      </c>
      <c r="BP56" s="34">
        <v>20.04325</v>
      </c>
      <c r="BQ56" s="34">
        <v>20.04325</v>
      </c>
      <c r="BR56" s="34">
        <v>20.04325</v>
      </c>
      <c r="BT56" s="7" t="s">
        <v>24</v>
      </c>
    </row>
    <row r="57">
      <c r="A57" s="34">
        <f t="shared" si="99"/>
        <v>7</v>
      </c>
      <c r="B57" s="15">
        <v>0.10745614680786286</v>
      </c>
      <c r="L57" s="66"/>
      <c r="M57" s="66">
        <f t="shared" ref="M57:T57" si="113">D$51*$B57</f>
        <v>0.08059211011</v>
      </c>
      <c r="N57" s="66">
        <f t="shared" si="113"/>
        <v>0.08059211011</v>
      </c>
      <c r="O57" s="66">
        <f t="shared" si="113"/>
        <v>0.08059211011</v>
      </c>
      <c r="P57" s="66">
        <f t="shared" si="113"/>
        <v>0.08059211011</v>
      </c>
      <c r="Q57" s="66">
        <f t="shared" si="113"/>
        <v>0.08059211011</v>
      </c>
      <c r="R57" s="66">
        <f t="shared" si="113"/>
        <v>0.08059211011</v>
      </c>
      <c r="S57" s="66">
        <f t="shared" si="113"/>
        <v>0.08059211011</v>
      </c>
      <c r="T57" s="66">
        <f t="shared" si="113"/>
        <v>0.08059211011</v>
      </c>
      <c r="U57" s="66"/>
      <c r="V57" s="37">
        <v>0.25</v>
      </c>
      <c r="W57" s="37">
        <v>0.25</v>
      </c>
      <c r="X57" s="37">
        <v>0.25</v>
      </c>
      <c r="Y57" s="37">
        <v>0.25</v>
      </c>
      <c r="Z57" s="37">
        <v>0.25</v>
      </c>
      <c r="AA57" s="37">
        <v>0.25</v>
      </c>
      <c r="AB57" s="37">
        <v>0.25</v>
      </c>
      <c r="AC57" s="37">
        <v>0.25</v>
      </c>
      <c r="AE57" s="34">
        <f t="shared" ref="AE57:AL57" si="114">if(V57&gt;0,1,0)</f>
        <v>1</v>
      </c>
      <c r="AF57" s="34">
        <f t="shared" si="114"/>
        <v>1</v>
      </c>
      <c r="AG57" s="34">
        <f t="shared" si="114"/>
        <v>1</v>
      </c>
      <c r="AH57" s="34">
        <f t="shared" si="114"/>
        <v>1</v>
      </c>
      <c r="AI57" s="34">
        <f t="shared" si="114"/>
        <v>1</v>
      </c>
      <c r="AJ57" s="34">
        <f t="shared" si="114"/>
        <v>1</v>
      </c>
      <c r="AK57" s="34">
        <f t="shared" si="114"/>
        <v>1</v>
      </c>
      <c r="AL57" s="34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69">
        <f t="shared" ref="BF57:BM57" si="116">AW57-BF55</f>
        <v>0.2498599833</v>
      </c>
      <c r="BG57" s="69">
        <f t="shared" si="116"/>
        <v>0.2498599833</v>
      </c>
      <c r="BH57" s="69">
        <f t="shared" si="116"/>
        <v>0.2498599833</v>
      </c>
      <c r="BI57" s="69">
        <f t="shared" si="116"/>
        <v>0.2498599833</v>
      </c>
      <c r="BJ57" s="69">
        <f t="shared" si="116"/>
        <v>0.2498599833</v>
      </c>
      <c r="BK57" s="69">
        <f t="shared" si="116"/>
        <v>0.2498599833</v>
      </c>
      <c r="BL57" s="69">
        <f t="shared" si="116"/>
        <v>0.2498599833</v>
      </c>
      <c r="BM57" s="69">
        <f t="shared" si="116"/>
        <v>0.2498599833</v>
      </c>
      <c r="BO57" s="34">
        <v>0.0</v>
      </c>
      <c r="BP57" s="34">
        <v>0.0</v>
      </c>
      <c r="BQ57" s="34">
        <v>0.0</v>
      </c>
      <c r="BR57" s="34">
        <v>0.0</v>
      </c>
      <c r="BT57" s="34">
        <v>0.0</v>
      </c>
      <c r="BU57" s="34">
        <v>0.0</v>
      </c>
      <c r="BV57" s="34">
        <v>0.0</v>
      </c>
      <c r="BW57" s="34">
        <v>0.0</v>
      </c>
      <c r="BX57" s="34">
        <v>0.0</v>
      </c>
      <c r="BY57" s="34">
        <v>0.0</v>
      </c>
      <c r="BZ57" s="34">
        <v>0.0</v>
      </c>
      <c r="CA57" s="34">
        <v>0.0</v>
      </c>
      <c r="CC57" s="34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4">
        <f t="shared" si="117"/>
        <v>-0.00003736024666</v>
      </c>
      <c r="CE57" s="34">
        <f t="shared" si="117"/>
        <v>-0.00003736024666</v>
      </c>
      <c r="CF57" s="34">
        <f t="shared" si="117"/>
        <v>-0.00003736024666</v>
      </c>
      <c r="CG57" s="34">
        <f t="shared" si="117"/>
        <v>-0.00003736024666</v>
      </c>
      <c r="CH57" s="34">
        <f t="shared" si="117"/>
        <v>-0.00003736024666</v>
      </c>
      <c r="CI57" s="34">
        <f t="shared" si="117"/>
        <v>-0.00003736024666</v>
      </c>
      <c r="CJ57" s="34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4">
        <f t="shared" si="99"/>
        <v>8</v>
      </c>
      <c r="B58" s="15">
        <v>0.0</v>
      </c>
      <c r="L58" s="66"/>
      <c r="M58" s="66">
        <f t="shared" ref="M58:T58" si="118">D$51*$B58</f>
        <v>0</v>
      </c>
      <c r="N58" s="66">
        <f t="shared" si="118"/>
        <v>0</v>
      </c>
      <c r="O58" s="66">
        <f t="shared" si="118"/>
        <v>0</v>
      </c>
      <c r="P58" s="66">
        <f t="shared" si="118"/>
        <v>0</v>
      </c>
      <c r="Q58" s="66">
        <f t="shared" si="118"/>
        <v>0</v>
      </c>
      <c r="R58" s="66">
        <f t="shared" si="118"/>
        <v>0</v>
      </c>
      <c r="S58" s="66">
        <f t="shared" si="118"/>
        <v>0</v>
      </c>
      <c r="T58" s="66">
        <f t="shared" si="118"/>
        <v>0</v>
      </c>
      <c r="U58" s="66"/>
      <c r="V58" s="37">
        <v>23.76775</v>
      </c>
      <c r="W58" s="37">
        <v>23.76775</v>
      </c>
      <c r="X58" s="37">
        <v>23.76775</v>
      </c>
      <c r="Y58" s="37">
        <v>23.76775</v>
      </c>
      <c r="Z58" s="37">
        <v>23.76775</v>
      </c>
      <c r="AA58" s="37">
        <v>23.76775</v>
      </c>
      <c r="AB58" s="37">
        <v>23.76775</v>
      </c>
      <c r="AC58" s="37">
        <v>23.76775</v>
      </c>
      <c r="AE58" s="34">
        <f t="shared" ref="AE58:AL58" si="119">if(V58&gt;0,1,0)</f>
        <v>1</v>
      </c>
      <c r="AF58" s="34">
        <f t="shared" si="119"/>
        <v>1</v>
      </c>
      <c r="AG58" s="34">
        <f t="shared" si="119"/>
        <v>1</v>
      </c>
      <c r="AH58" s="34">
        <f t="shared" si="119"/>
        <v>1</v>
      </c>
      <c r="AI58" s="34">
        <f t="shared" si="119"/>
        <v>1</v>
      </c>
      <c r="AJ58" s="34">
        <f t="shared" si="119"/>
        <v>1</v>
      </c>
      <c r="AK58" s="34">
        <f t="shared" si="119"/>
        <v>1</v>
      </c>
      <c r="AL58" s="34">
        <f t="shared" si="119"/>
        <v>1</v>
      </c>
      <c r="AM58" s="67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4">
        <v>7.83925</v>
      </c>
      <c r="BP58" s="34">
        <v>7.83925</v>
      </c>
      <c r="BQ58" s="34">
        <v>7.83925</v>
      </c>
      <c r="BR58" s="34">
        <v>7.83925</v>
      </c>
      <c r="BT58" s="34">
        <v>0.08059211010589715</v>
      </c>
      <c r="BU58" s="34">
        <v>0.08059211010589715</v>
      </c>
      <c r="BV58" s="34">
        <v>0.08059211010589715</v>
      </c>
      <c r="BW58" s="34">
        <v>0.08059211010589715</v>
      </c>
      <c r="BX58" s="34">
        <v>0.08059211010589715</v>
      </c>
      <c r="BY58" s="34">
        <v>0.08059211010589715</v>
      </c>
      <c r="BZ58" s="34">
        <v>0.08059211010589715</v>
      </c>
      <c r="CA58" s="34">
        <v>0.08059211010589715</v>
      </c>
      <c r="CC58" s="34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4">
        <f t="shared" si="121"/>
        <v>-0.00003736024666</v>
      </c>
      <c r="CE58" s="34">
        <f t="shared" si="121"/>
        <v>-0.00003736024666</v>
      </c>
      <c r="CF58" s="34">
        <f t="shared" si="121"/>
        <v>-0.00003736024666</v>
      </c>
      <c r="CG58" s="34">
        <f t="shared" si="121"/>
        <v>-0.00003736024666</v>
      </c>
      <c r="CH58" s="34">
        <f t="shared" si="121"/>
        <v>-0.00003736024666</v>
      </c>
      <c r="CI58" s="34">
        <f t="shared" si="121"/>
        <v>-0.00003736024666</v>
      </c>
      <c r="CJ58" s="34">
        <f t="shared" si="121"/>
        <v>-0.00003736024666</v>
      </c>
    </row>
    <row r="59">
      <c r="A59" s="34">
        <f t="shared" si="99"/>
        <v>9</v>
      </c>
      <c r="B59" s="15">
        <v>0.0</v>
      </c>
      <c r="M59" s="66">
        <f t="shared" ref="M59:T59" si="122">D$51*$B59</f>
        <v>0</v>
      </c>
      <c r="N59" s="66">
        <f t="shared" si="122"/>
        <v>0</v>
      </c>
      <c r="O59" s="66">
        <f t="shared" si="122"/>
        <v>0</v>
      </c>
      <c r="P59" s="66">
        <f t="shared" si="122"/>
        <v>0</v>
      </c>
      <c r="Q59" s="66">
        <f t="shared" si="122"/>
        <v>0</v>
      </c>
      <c r="R59" s="66">
        <f t="shared" si="122"/>
        <v>0</v>
      </c>
      <c r="S59" s="66">
        <f t="shared" si="122"/>
        <v>0</v>
      </c>
      <c r="T59" s="66">
        <f t="shared" si="122"/>
        <v>0</v>
      </c>
      <c r="V59" s="37">
        <v>49.53475</v>
      </c>
      <c r="W59" s="37">
        <v>49.53475</v>
      </c>
      <c r="X59" s="37">
        <v>49.53475</v>
      </c>
      <c r="Y59" s="37">
        <v>49.53475</v>
      </c>
      <c r="Z59" s="37">
        <v>49.53475</v>
      </c>
      <c r="AA59" s="37">
        <v>49.53475</v>
      </c>
      <c r="AB59" s="37">
        <v>49.53475</v>
      </c>
      <c r="AC59" s="37">
        <v>49.53475</v>
      </c>
      <c r="AE59" s="34">
        <f t="shared" ref="AE59:AL59" si="123">if(V59&gt;0,1,0)</f>
        <v>1</v>
      </c>
      <c r="AF59" s="34">
        <f t="shared" si="123"/>
        <v>1</v>
      </c>
      <c r="AG59" s="34">
        <f t="shared" si="123"/>
        <v>1</v>
      </c>
      <c r="AH59" s="34">
        <f t="shared" si="123"/>
        <v>1</v>
      </c>
      <c r="AI59" s="34">
        <f t="shared" si="123"/>
        <v>1</v>
      </c>
      <c r="AJ59" s="34">
        <f t="shared" si="123"/>
        <v>1</v>
      </c>
      <c r="AK59" s="34">
        <f t="shared" si="123"/>
        <v>1</v>
      </c>
      <c r="AL59" s="34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36</v>
      </c>
      <c r="BO59" s="34">
        <v>16.428250000000002</v>
      </c>
      <c r="BP59" s="34">
        <v>16.428250000000002</v>
      </c>
      <c r="BQ59" s="34">
        <v>16.428250000000002</v>
      </c>
      <c r="BR59" s="34">
        <v>16.428250000000002</v>
      </c>
      <c r="BT59" s="34">
        <v>7.084333120119741E-13</v>
      </c>
      <c r="BU59" s="34">
        <v>7.084333120119741E-13</v>
      </c>
      <c r="BV59" s="34">
        <v>7.084333120119741E-13</v>
      </c>
      <c r="BW59" s="34">
        <v>7.084333120119741E-13</v>
      </c>
      <c r="BX59" s="34">
        <v>7.084333120119741E-13</v>
      </c>
      <c r="BY59" s="34">
        <v>7.084333120119741E-13</v>
      </c>
      <c r="BZ59" s="34">
        <v>7.084333120119741E-13</v>
      </c>
      <c r="CA59" s="34">
        <v>7.084333120119741E-13</v>
      </c>
      <c r="CC59" s="34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4">
        <f t="shared" si="125"/>
        <v>-0.00003736024666</v>
      </c>
      <c r="CE59" s="34">
        <f t="shared" si="125"/>
        <v>-0.00003736024666</v>
      </c>
      <c r="CF59" s="34">
        <f t="shared" si="125"/>
        <v>-0.00003736024666</v>
      </c>
      <c r="CG59" s="34">
        <f t="shared" si="125"/>
        <v>-0.00003736024666</v>
      </c>
      <c r="CH59" s="34">
        <f t="shared" si="125"/>
        <v>-0.00003736024666</v>
      </c>
      <c r="CI59" s="34">
        <f t="shared" si="125"/>
        <v>-0.00003736024666</v>
      </c>
      <c r="CJ59" s="34">
        <f t="shared" si="125"/>
        <v>-0.00003736024666</v>
      </c>
    </row>
    <row r="60">
      <c r="A60" s="34">
        <f t="shared" si="99"/>
        <v>10</v>
      </c>
      <c r="B60" s="15">
        <v>0.10745614680786286</v>
      </c>
      <c r="M60" s="66">
        <f t="shared" ref="M60:T60" si="126">D$51*$B60</f>
        <v>0.08059211011</v>
      </c>
      <c r="N60" s="66">
        <f t="shared" si="126"/>
        <v>0.08059211011</v>
      </c>
      <c r="O60" s="66">
        <f t="shared" si="126"/>
        <v>0.08059211011</v>
      </c>
      <c r="P60" s="66">
        <f t="shared" si="126"/>
        <v>0.08059211011</v>
      </c>
      <c r="Q60" s="66">
        <f t="shared" si="126"/>
        <v>0.08059211011</v>
      </c>
      <c r="R60" s="66">
        <f t="shared" si="126"/>
        <v>0.08059211011</v>
      </c>
      <c r="S60" s="66">
        <f t="shared" si="126"/>
        <v>0.08059211011</v>
      </c>
      <c r="T60" s="66">
        <f t="shared" si="126"/>
        <v>0.08059211011</v>
      </c>
      <c r="V60" s="37">
        <v>0.25</v>
      </c>
      <c r="W60" s="37">
        <v>0.25</v>
      </c>
      <c r="X60" s="37">
        <v>0.25</v>
      </c>
      <c r="Y60" s="37">
        <v>0.25</v>
      </c>
      <c r="Z60" s="37">
        <v>0.25</v>
      </c>
      <c r="AA60" s="37">
        <v>0.25</v>
      </c>
      <c r="AB60" s="37">
        <v>0.25</v>
      </c>
      <c r="AC60" s="37">
        <v>0.25</v>
      </c>
      <c r="AE60" s="34">
        <f t="shared" ref="AE60:AL60" si="127">if(V60&gt;0,1,0)</f>
        <v>1</v>
      </c>
      <c r="AF60" s="34">
        <f t="shared" si="127"/>
        <v>1</v>
      </c>
      <c r="AG60" s="34">
        <f t="shared" si="127"/>
        <v>1</v>
      </c>
      <c r="AH60" s="34">
        <f t="shared" si="127"/>
        <v>1</v>
      </c>
      <c r="AI60" s="34">
        <f t="shared" si="127"/>
        <v>1</v>
      </c>
      <c r="AJ60" s="34">
        <f t="shared" si="127"/>
        <v>1</v>
      </c>
      <c r="AK60" s="34">
        <f t="shared" si="127"/>
        <v>1</v>
      </c>
      <c r="AL60" s="34">
        <f t="shared" si="127"/>
        <v>1</v>
      </c>
      <c r="AM60" s="67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4">
        <v>0.0</v>
      </c>
      <c r="BP60" s="34">
        <v>0.0</v>
      </c>
      <c r="BQ60" s="34">
        <v>0.0</v>
      </c>
      <c r="BR60" s="34">
        <v>0.0</v>
      </c>
      <c r="BT60" s="34">
        <v>0.0</v>
      </c>
      <c r="BU60" s="34">
        <v>0.0</v>
      </c>
      <c r="BV60" s="34">
        <v>0.0</v>
      </c>
      <c r="BW60" s="34">
        <v>0.0</v>
      </c>
      <c r="BX60" s="34">
        <v>0.0</v>
      </c>
      <c r="BY60" s="34">
        <v>0.0</v>
      </c>
      <c r="BZ60" s="34">
        <v>0.0</v>
      </c>
      <c r="CA60" s="34">
        <v>0.0</v>
      </c>
      <c r="CC60" s="34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4">
        <f t="shared" si="129"/>
        <v>-0.00003736024666</v>
      </c>
      <c r="CE60" s="34">
        <f t="shared" si="129"/>
        <v>-0.00003736024666</v>
      </c>
      <c r="CF60" s="34">
        <f t="shared" si="129"/>
        <v>-0.00003736024666</v>
      </c>
      <c r="CG60" s="34">
        <f t="shared" si="129"/>
        <v>-0.00003736024666</v>
      </c>
      <c r="CH60" s="34">
        <f t="shared" si="129"/>
        <v>-0.00003736024666</v>
      </c>
      <c r="CI60" s="34">
        <f t="shared" si="129"/>
        <v>-0.00003736024666</v>
      </c>
      <c r="CJ60" s="34">
        <f t="shared" si="129"/>
        <v>-0.00003736024666</v>
      </c>
    </row>
    <row r="61">
      <c r="A61" s="34">
        <f t="shared" si="99"/>
        <v>11</v>
      </c>
      <c r="B61" s="15">
        <v>0.0</v>
      </c>
      <c r="M61" s="66">
        <f t="shared" ref="M61:M70" si="133">D$51*B61</f>
        <v>0</v>
      </c>
      <c r="N61" s="66">
        <f t="shared" ref="N61:T61" si="130">E$51*$B61</f>
        <v>0</v>
      </c>
      <c r="O61" s="66">
        <f t="shared" si="130"/>
        <v>0</v>
      </c>
      <c r="P61" s="66">
        <f t="shared" si="130"/>
        <v>0</v>
      </c>
      <c r="Q61" s="66">
        <f t="shared" si="130"/>
        <v>0</v>
      </c>
      <c r="R61" s="66">
        <f t="shared" si="130"/>
        <v>0</v>
      </c>
      <c r="S61" s="66">
        <f t="shared" si="130"/>
        <v>0</v>
      </c>
      <c r="T61" s="66">
        <f t="shared" si="130"/>
        <v>0</v>
      </c>
      <c r="V61" s="37">
        <v>6.372999999999999</v>
      </c>
      <c r="W61" s="37">
        <v>6.372999999999999</v>
      </c>
      <c r="X61" s="37">
        <v>6.372999999999999</v>
      </c>
      <c r="Y61" s="37">
        <v>6.372999999999999</v>
      </c>
      <c r="Z61" s="37">
        <v>6.372999999999999</v>
      </c>
      <c r="AA61" s="37">
        <v>6.372999999999999</v>
      </c>
      <c r="AB61" s="37">
        <v>6.372999999999999</v>
      </c>
      <c r="AC61" s="37">
        <v>6.372999999999999</v>
      </c>
      <c r="AE61" s="34">
        <f t="shared" ref="AE61:AL61" si="131">if(V61&gt;0,1,0)</f>
        <v>1</v>
      </c>
      <c r="AF61" s="34">
        <f t="shared" si="131"/>
        <v>1</v>
      </c>
      <c r="AG61" s="34">
        <f t="shared" si="131"/>
        <v>1</v>
      </c>
      <c r="AH61" s="34">
        <f t="shared" si="131"/>
        <v>1</v>
      </c>
      <c r="AI61" s="34">
        <f t="shared" si="131"/>
        <v>1</v>
      </c>
      <c r="AJ61" s="34">
        <f t="shared" si="131"/>
        <v>1</v>
      </c>
      <c r="AK61" s="34">
        <f t="shared" si="131"/>
        <v>1</v>
      </c>
      <c r="AL61" s="34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4">
        <v>2.041</v>
      </c>
      <c r="BP61" s="34">
        <v>2.041</v>
      </c>
      <c r="BQ61" s="34">
        <v>2.041</v>
      </c>
      <c r="BR61" s="34">
        <v>2.041</v>
      </c>
      <c r="BT61" s="34">
        <v>0.08059211010589715</v>
      </c>
      <c r="BU61" s="34">
        <v>0.08059211010589715</v>
      </c>
      <c r="BV61" s="34">
        <v>0.08059211010589715</v>
      </c>
      <c r="BW61" s="34">
        <v>0.08059211010589715</v>
      </c>
      <c r="BX61" s="34">
        <v>0.08059211010589715</v>
      </c>
      <c r="BY61" s="34">
        <v>0.08059211010589715</v>
      </c>
      <c r="BZ61" s="34">
        <v>0.08059211010589715</v>
      </c>
      <c r="CA61" s="34">
        <v>0.08059211010589715</v>
      </c>
    </row>
    <row r="62">
      <c r="A62" s="34">
        <f t="shared" si="99"/>
        <v>12</v>
      </c>
      <c r="B62" s="15">
        <v>-5.892049538194572E-13</v>
      </c>
      <c r="M62" s="66">
        <f t="shared" si="133"/>
        <v>0</v>
      </c>
      <c r="N62" s="66">
        <f t="shared" ref="N62:T62" si="134">E$51*$B62</f>
        <v>0</v>
      </c>
      <c r="O62" s="66">
        <f t="shared" si="134"/>
        <v>0</v>
      </c>
      <c r="P62" s="66">
        <f t="shared" si="134"/>
        <v>0</v>
      </c>
      <c r="Q62" s="66">
        <f t="shared" si="134"/>
        <v>0</v>
      </c>
      <c r="R62" s="66">
        <f t="shared" si="134"/>
        <v>0</v>
      </c>
      <c r="S62" s="66">
        <f t="shared" si="134"/>
        <v>0</v>
      </c>
      <c r="T62" s="66">
        <f t="shared" si="134"/>
        <v>0</v>
      </c>
      <c r="V62" s="37">
        <v>2.305</v>
      </c>
      <c r="W62" s="37">
        <v>2.305</v>
      </c>
      <c r="X62" s="37">
        <v>2.305</v>
      </c>
      <c r="Y62" s="37">
        <v>2.305</v>
      </c>
      <c r="Z62" s="37">
        <v>2.305</v>
      </c>
      <c r="AA62" s="37">
        <v>2.305</v>
      </c>
      <c r="AB62" s="37">
        <v>2.305</v>
      </c>
      <c r="AC62" s="37">
        <v>2.305</v>
      </c>
      <c r="AE62" s="34">
        <f t="shared" ref="AE62:AL62" si="135">if(V62&gt;0,1,0)</f>
        <v>1</v>
      </c>
      <c r="AF62" s="34">
        <f t="shared" si="135"/>
        <v>1</v>
      </c>
      <c r="AG62" s="34">
        <f t="shared" si="135"/>
        <v>1</v>
      </c>
      <c r="AH62" s="34">
        <f t="shared" si="135"/>
        <v>1</v>
      </c>
      <c r="AI62" s="34">
        <f t="shared" si="135"/>
        <v>1</v>
      </c>
      <c r="AJ62" s="34">
        <f t="shared" si="135"/>
        <v>1</v>
      </c>
      <c r="AK62" s="34">
        <f t="shared" si="135"/>
        <v>1</v>
      </c>
      <c r="AL62" s="34">
        <f t="shared" si="135"/>
        <v>1</v>
      </c>
      <c r="AM62" s="67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4">
        <v>0.685</v>
      </c>
      <c r="BP62" s="34">
        <v>0.685</v>
      </c>
      <c r="BQ62" s="34">
        <v>0.685</v>
      </c>
      <c r="BR62" s="34">
        <v>0.685</v>
      </c>
      <c r="BT62" s="34">
        <v>0.0</v>
      </c>
      <c r="BU62" s="34">
        <v>0.0</v>
      </c>
      <c r="BV62" s="34">
        <v>0.0</v>
      </c>
      <c r="BW62" s="34">
        <v>0.0</v>
      </c>
      <c r="BX62" s="34">
        <v>0.0</v>
      </c>
      <c r="BY62" s="34">
        <v>0.0</v>
      </c>
      <c r="BZ62" s="34">
        <v>0.0</v>
      </c>
      <c r="CA62" s="34">
        <v>0.0</v>
      </c>
      <c r="CC62" s="7" t="s">
        <v>37</v>
      </c>
      <c r="CD62" s="7">
        <v>0.01</v>
      </c>
    </row>
    <row r="63">
      <c r="A63" s="34">
        <f t="shared" si="99"/>
        <v>13</v>
      </c>
      <c r="B63" s="15">
        <v>-0.018673078378792285</v>
      </c>
      <c r="M63" s="66">
        <f t="shared" si="133"/>
        <v>-0.01400480878</v>
      </c>
      <c r="N63" s="66">
        <f t="shared" ref="N63:T63" si="137">E$51*$B63</f>
        <v>-0.01400480878</v>
      </c>
      <c r="O63" s="66">
        <f t="shared" si="137"/>
        <v>-0.01400480878</v>
      </c>
      <c r="P63" s="66">
        <f t="shared" si="137"/>
        <v>-0.01400480878</v>
      </c>
      <c r="Q63" s="66">
        <f t="shared" si="137"/>
        <v>-0.01400480878</v>
      </c>
      <c r="R63" s="66">
        <f t="shared" si="137"/>
        <v>-0.01400480878</v>
      </c>
      <c r="S63" s="66">
        <f t="shared" si="137"/>
        <v>-0.01400480878</v>
      </c>
      <c r="T63" s="66">
        <f t="shared" si="137"/>
        <v>-0.01400480878</v>
      </c>
      <c r="V63" s="37">
        <v>0.25</v>
      </c>
      <c r="W63" s="37">
        <v>0.25</v>
      </c>
      <c r="X63" s="37">
        <v>0.25</v>
      </c>
      <c r="Y63" s="37">
        <v>0.25</v>
      </c>
      <c r="Z63" s="37">
        <v>0.25</v>
      </c>
      <c r="AA63" s="37">
        <v>0.25</v>
      </c>
      <c r="AB63" s="37">
        <v>0.25</v>
      </c>
      <c r="AC63" s="37">
        <v>0.25</v>
      </c>
      <c r="AE63" s="34">
        <f t="shared" ref="AE63:AL63" si="138">if(V63&gt;0,1,0)</f>
        <v>1</v>
      </c>
      <c r="AF63" s="34">
        <f t="shared" si="138"/>
        <v>1</v>
      </c>
      <c r="AG63" s="34">
        <f t="shared" si="138"/>
        <v>1</v>
      </c>
      <c r="AH63" s="34">
        <f t="shared" si="138"/>
        <v>1</v>
      </c>
      <c r="AI63" s="34">
        <f t="shared" si="138"/>
        <v>1</v>
      </c>
      <c r="AJ63" s="34">
        <f t="shared" si="138"/>
        <v>1</v>
      </c>
      <c r="AK63" s="34">
        <f t="shared" si="138"/>
        <v>1</v>
      </c>
      <c r="AL63" s="34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25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4">
        <v>0.0</v>
      </c>
      <c r="BP63" s="34">
        <v>0.0</v>
      </c>
      <c r="BQ63" s="34">
        <v>0.0</v>
      </c>
      <c r="BR63" s="34">
        <v>0.0</v>
      </c>
      <c r="BT63" s="34">
        <v>0.08059211010589715</v>
      </c>
      <c r="BU63" s="34">
        <v>0.08059211010589715</v>
      </c>
      <c r="BV63" s="34">
        <v>0.08059211010589715</v>
      </c>
      <c r="BW63" s="34">
        <v>0.08059211010589715</v>
      </c>
      <c r="BX63" s="34">
        <v>0.08059211010589715</v>
      </c>
      <c r="BY63" s="34">
        <v>0.08059211010589715</v>
      </c>
      <c r="BZ63" s="34">
        <v>0.08059211010589715</v>
      </c>
      <c r="CA63" s="34">
        <v>0.08059211010589715</v>
      </c>
    </row>
    <row r="64">
      <c r="A64" s="34">
        <f t="shared" si="99"/>
        <v>14</v>
      </c>
      <c r="B64" s="15">
        <v>-0.018673078378792285</v>
      </c>
      <c r="M64" s="66">
        <f t="shared" si="133"/>
        <v>-0.01400480878</v>
      </c>
      <c r="N64" s="66">
        <f t="shared" ref="N64:T64" si="140">E$51*$B64</f>
        <v>-0.01400480878</v>
      </c>
      <c r="O64" s="66">
        <f t="shared" si="140"/>
        <v>-0.01400480878</v>
      </c>
      <c r="P64" s="66">
        <f t="shared" si="140"/>
        <v>-0.01400480878</v>
      </c>
      <c r="Q64" s="66">
        <f t="shared" si="140"/>
        <v>-0.01400480878</v>
      </c>
      <c r="R64" s="66">
        <f t="shared" si="140"/>
        <v>-0.01400480878</v>
      </c>
      <c r="S64" s="66">
        <f t="shared" si="140"/>
        <v>-0.01400480878</v>
      </c>
      <c r="T64" s="66">
        <f t="shared" si="140"/>
        <v>-0.01400480878</v>
      </c>
      <c r="V64" s="37">
        <v>0.25</v>
      </c>
      <c r="W64" s="37">
        <v>0.25</v>
      </c>
      <c r="X64" s="37">
        <v>0.25</v>
      </c>
      <c r="Y64" s="37">
        <v>0.25</v>
      </c>
      <c r="Z64" s="37">
        <v>0.25</v>
      </c>
      <c r="AA64" s="37">
        <v>0.25</v>
      </c>
      <c r="AB64" s="37">
        <v>0.25</v>
      </c>
      <c r="AC64" s="37">
        <v>0.25</v>
      </c>
      <c r="AE64" s="34">
        <f t="shared" ref="AE64:AL64" si="141">if(V64&gt;0,1,0)</f>
        <v>1</v>
      </c>
      <c r="AF64" s="34">
        <f t="shared" si="141"/>
        <v>1</v>
      </c>
      <c r="AG64" s="34">
        <f t="shared" si="141"/>
        <v>1</v>
      </c>
      <c r="AH64" s="34">
        <f t="shared" si="141"/>
        <v>1</v>
      </c>
      <c r="AI64" s="34">
        <f t="shared" si="141"/>
        <v>1</v>
      </c>
      <c r="AJ64" s="34">
        <f t="shared" si="141"/>
        <v>1</v>
      </c>
      <c r="AK64" s="34">
        <f t="shared" si="141"/>
        <v>1</v>
      </c>
      <c r="AL64" s="34">
        <f t="shared" si="141"/>
        <v>1</v>
      </c>
      <c r="AM64" s="67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0">
        <f t="shared" ref="AW64:BD64" si="143">AW51-CC64</f>
        <v>0.7500003736</v>
      </c>
      <c r="AX64" s="70">
        <f t="shared" si="143"/>
        <v>0.7500003736</v>
      </c>
      <c r="AY64" s="70">
        <f t="shared" si="143"/>
        <v>0.7500003736</v>
      </c>
      <c r="AZ64" s="70">
        <f t="shared" si="143"/>
        <v>0.7500003736</v>
      </c>
      <c r="BA64" s="70">
        <f t="shared" si="143"/>
        <v>0.7500003736</v>
      </c>
      <c r="BB64" s="70">
        <f t="shared" si="143"/>
        <v>0.7500003736</v>
      </c>
      <c r="BC64" s="70">
        <f t="shared" si="143"/>
        <v>0.7500003736</v>
      </c>
      <c r="BD64" s="70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4">
        <v>0.0</v>
      </c>
      <c r="BP64" s="34">
        <v>0.0</v>
      </c>
      <c r="BQ64" s="34">
        <v>0.0</v>
      </c>
      <c r="BR64" s="34">
        <v>0.0</v>
      </c>
      <c r="BT64" s="34">
        <v>0.0</v>
      </c>
      <c r="BU64" s="34">
        <v>0.0</v>
      </c>
      <c r="BV64" s="34">
        <v>0.0</v>
      </c>
      <c r="BW64" s="34">
        <v>0.0</v>
      </c>
      <c r="BX64" s="34">
        <v>0.0</v>
      </c>
      <c r="BY64" s="34">
        <v>0.0</v>
      </c>
      <c r="BZ64" s="34">
        <v>0.0</v>
      </c>
      <c r="CA64" s="34">
        <v>0.0</v>
      </c>
      <c r="CC64" s="62">
        <f t="shared" ref="CC64:CJ64" si="144">CC57*$CD$62</f>
        <v>-0.0000003736024666</v>
      </c>
      <c r="CD64" s="62">
        <f t="shared" si="144"/>
        <v>-0.0000003736024666</v>
      </c>
      <c r="CE64" s="62">
        <f t="shared" si="144"/>
        <v>-0.0000003736024666</v>
      </c>
      <c r="CF64" s="62">
        <f t="shared" si="144"/>
        <v>-0.0000003736024666</v>
      </c>
      <c r="CG64" s="62">
        <f t="shared" si="144"/>
        <v>-0.0000003736024666</v>
      </c>
      <c r="CH64" s="62">
        <f t="shared" si="144"/>
        <v>-0.0000003736024666</v>
      </c>
      <c r="CI64" s="62">
        <f t="shared" si="144"/>
        <v>-0.0000003736024666</v>
      </c>
      <c r="CJ64" s="62">
        <f t="shared" si="144"/>
        <v>-0.0000003736024666</v>
      </c>
    </row>
    <row r="65">
      <c r="A65" s="34">
        <f t="shared" si="99"/>
        <v>15</v>
      </c>
      <c r="B65" s="15">
        <v>0.0</v>
      </c>
      <c r="M65" s="66">
        <f t="shared" si="133"/>
        <v>0</v>
      </c>
      <c r="N65" s="66">
        <f t="shared" ref="N65:T65" si="145">E$51*$B65</f>
        <v>0</v>
      </c>
      <c r="O65" s="66">
        <f t="shared" si="145"/>
        <v>0</v>
      </c>
      <c r="P65" s="66">
        <f t="shared" si="145"/>
        <v>0</v>
      </c>
      <c r="Q65" s="66">
        <f t="shared" si="145"/>
        <v>0</v>
      </c>
      <c r="R65" s="66">
        <f t="shared" si="145"/>
        <v>0</v>
      </c>
      <c r="S65" s="66">
        <f t="shared" si="145"/>
        <v>0</v>
      </c>
      <c r="T65" s="66">
        <f t="shared" si="145"/>
        <v>0</v>
      </c>
      <c r="V65" s="37">
        <v>8.4295</v>
      </c>
      <c r="W65" s="37">
        <v>8.4295</v>
      </c>
      <c r="X65" s="37">
        <v>8.4295</v>
      </c>
      <c r="Y65" s="37">
        <v>8.4295</v>
      </c>
      <c r="Z65" s="37">
        <v>8.4295</v>
      </c>
      <c r="AA65" s="37">
        <v>8.4295</v>
      </c>
      <c r="AB65" s="37">
        <v>8.4295</v>
      </c>
      <c r="AC65" s="37">
        <v>8.4295</v>
      </c>
      <c r="AE65" s="34">
        <f t="shared" ref="AE65:AL65" si="146">if(V65&gt;0,1,0)</f>
        <v>1</v>
      </c>
      <c r="AF65" s="34">
        <f t="shared" si="146"/>
        <v>1</v>
      </c>
      <c r="AG65" s="34">
        <f t="shared" si="146"/>
        <v>1</v>
      </c>
      <c r="AH65" s="34">
        <f t="shared" si="146"/>
        <v>1</v>
      </c>
      <c r="AI65" s="34">
        <f t="shared" si="146"/>
        <v>1</v>
      </c>
      <c r="AJ65" s="34">
        <f t="shared" si="146"/>
        <v>1</v>
      </c>
      <c r="AK65" s="34">
        <f t="shared" si="146"/>
        <v>1</v>
      </c>
      <c r="AL65" s="34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0">
        <f t="shared" ref="AW65:BD65" si="148">AW52-CC65</f>
        <v>0.7500003736</v>
      </c>
      <c r="AX65" s="70">
        <f t="shared" si="148"/>
        <v>0.7500003736</v>
      </c>
      <c r="AY65" s="70">
        <f t="shared" si="148"/>
        <v>0.7500003736</v>
      </c>
      <c r="AZ65" s="70">
        <f t="shared" si="148"/>
        <v>0.7500003736</v>
      </c>
      <c r="BA65" s="70">
        <f t="shared" si="148"/>
        <v>0.7500003736</v>
      </c>
      <c r="BB65" s="70">
        <f t="shared" si="148"/>
        <v>0.7500003736</v>
      </c>
      <c r="BC65" s="70">
        <f t="shared" si="148"/>
        <v>0.7500003736</v>
      </c>
      <c r="BD65" s="70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4">
        <v>2.7265</v>
      </c>
      <c r="BP65" s="34">
        <v>2.7265</v>
      </c>
      <c r="BQ65" s="34">
        <v>2.7265</v>
      </c>
      <c r="BR65" s="34">
        <v>2.7265</v>
      </c>
      <c r="BT65" s="34">
        <v>0.0</v>
      </c>
      <c r="BU65" s="34">
        <v>0.0</v>
      </c>
      <c r="BV65" s="34">
        <v>0.0</v>
      </c>
      <c r="BW65" s="34">
        <v>0.0</v>
      </c>
      <c r="BX65" s="34">
        <v>0.0</v>
      </c>
      <c r="BY65" s="34">
        <v>0.0</v>
      </c>
      <c r="BZ65" s="34">
        <v>0.0</v>
      </c>
      <c r="CA65" s="34">
        <v>0.0</v>
      </c>
      <c r="CC65" s="62">
        <f t="shared" ref="CC65:CJ65" si="149">CC58*$CD$62</f>
        <v>-0.0000003736024666</v>
      </c>
      <c r="CD65" s="62">
        <f t="shared" si="149"/>
        <v>-0.0000003736024666</v>
      </c>
      <c r="CE65" s="62">
        <f t="shared" si="149"/>
        <v>-0.0000003736024666</v>
      </c>
      <c r="CF65" s="62">
        <f t="shared" si="149"/>
        <v>-0.0000003736024666</v>
      </c>
      <c r="CG65" s="62">
        <f t="shared" si="149"/>
        <v>-0.0000003736024666</v>
      </c>
      <c r="CH65" s="62">
        <f t="shared" si="149"/>
        <v>-0.0000003736024666</v>
      </c>
      <c r="CI65" s="62">
        <f t="shared" si="149"/>
        <v>-0.0000003736024666</v>
      </c>
      <c r="CJ65" s="62">
        <f t="shared" si="149"/>
        <v>-0.0000003736024666</v>
      </c>
    </row>
    <row r="66">
      <c r="A66" s="34">
        <f t="shared" si="99"/>
        <v>16</v>
      </c>
      <c r="B66" s="15">
        <v>-0.018673078378792285</v>
      </c>
      <c r="M66" s="66">
        <f t="shared" si="133"/>
        <v>-0.01400480878</v>
      </c>
      <c r="N66" s="66">
        <f t="shared" ref="N66:T66" si="150">E$51*$B66</f>
        <v>-0.01400480878</v>
      </c>
      <c r="O66" s="66">
        <f t="shared" si="150"/>
        <v>-0.01400480878</v>
      </c>
      <c r="P66" s="66">
        <f t="shared" si="150"/>
        <v>-0.01400480878</v>
      </c>
      <c r="Q66" s="66">
        <f t="shared" si="150"/>
        <v>-0.01400480878</v>
      </c>
      <c r="R66" s="66">
        <f t="shared" si="150"/>
        <v>-0.01400480878</v>
      </c>
      <c r="S66" s="66">
        <f t="shared" si="150"/>
        <v>-0.01400480878</v>
      </c>
      <c r="T66" s="66">
        <f t="shared" si="150"/>
        <v>-0.01400480878</v>
      </c>
      <c r="V66" s="37">
        <v>0.25</v>
      </c>
      <c r="W66" s="37">
        <v>0.25</v>
      </c>
      <c r="X66" s="37">
        <v>0.25</v>
      </c>
      <c r="Y66" s="37">
        <v>0.25</v>
      </c>
      <c r="Z66" s="37">
        <v>0.25</v>
      </c>
      <c r="AA66" s="37">
        <v>0.25</v>
      </c>
      <c r="AB66" s="37">
        <v>0.25</v>
      </c>
      <c r="AC66" s="37">
        <v>0.25</v>
      </c>
      <c r="AE66" s="34">
        <f t="shared" ref="AE66:AL66" si="151">if(V66&gt;0,1,0)</f>
        <v>1</v>
      </c>
      <c r="AF66" s="34">
        <f t="shared" si="151"/>
        <v>1</v>
      </c>
      <c r="AG66" s="34">
        <f t="shared" si="151"/>
        <v>1</v>
      </c>
      <c r="AH66" s="34">
        <f t="shared" si="151"/>
        <v>1</v>
      </c>
      <c r="AI66" s="34">
        <f t="shared" si="151"/>
        <v>1</v>
      </c>
      <c r="AJ66" s="34">
        <f t="shared" si="151"/>
        <v>1</v>
      </c>
      <c r="AK66" s="34">
        <f t="shared" si="151"/>
        <v>1</v>
      </c>
      <c r="AL66" s="34">
        <f t="shared" si="151"/>
        <v>1</v>
      </c>
      <c r="AM66" s="67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0">
        <f t="shared" ref="AW66:BD66" si="153">AW53-CC66</f>
        <v>0.7500003736</v>
      </c>
      <c r="AX66" s="70">
        <f t="shared" si="153"/>
        <v>0.7500003736</v>
      </c>
      <c r="AY66" s="70">
        <f t="shared" si="153"/>
        <v>0.7500003736</v>
      </c>
      <c r="AZ66" s="70">
        <f t="shared" si="153"/>
        <v>0.7500003736</v>
      </c>
      <c r="BA66" s="70">
        <f t="shared" si="153"/>
        <v>0.7500003736</v>
      </c>
      <c r="BB66" s="70">
        <f t="shared" si="153"/>
        <v>0.7500003736</v>
      </c>
      <c r="BC66" s="70">
        <f t="shared" si="153"/>
        <v>0.7500003736</v>
      </c>
      <c r="BD66" s="70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4">
        <v>0.0</v>
      </c>
      <c r="BP66" s="34">
        <v>0.0</v>
      </c>
      <c r="BQ66" s="34">
        <v>0.0</v>
      </c>
      <c r="BR66" s="34">
        <v>0.0</v>
      </c>
      <c r="BT66" s="34">
        <v>0.08059211010589715</v>
      </c>
      <c r="BU66" s="34">
        <v>0.08059211010589715</v>
      </c>
      <c r="BV66" s="34">
        <v>0.08059211010589715</v>
      </c>
      <c r="BW66" s="34">
        <v>0.08059211010589715</v>
      </c>
      <c r="BX66" s="34">
        <v>0.08059211010589715</v>
      </c>
      <c r="BY66" s="34">
        <v>0.08059211010589715</v>
      </c>
      <c r="BZ66" s="34">
        <v>0.08059211010589715</v>
      </c>
      <c r="CA66" s="34">
        <v>0.08059211010589715</v>
      </c>
      <c r="CC66" s="62">
        <f t="shared" ref="CC66:CJ66" si="154">CC59*$CD$62</f>
        <v>-0.0000003736024666</v>
      </c>
      <c r="CD66" s="62">
        <f t="shared" si="154"/>
        <v>-0.0000003736024666</v>
      </c>
      <c r="CE66" s="62">
        <f t="shared" si="154"/>
        <v>-0.0000003736024666</v>
      </c>
      <c r="CF66" s="62">
        <f t="shared" si="154"/>
        <v>-0.0000003736024666</v>
      </c>
      <c r="CG66" s="62">
        <f t="shared" si="154"/>
        <v>-0.0000003736024666</v>
      </c>
      <c r="CH66" s="62">
        <f t="shared" si="154"/>
        <v>-0.0000003736024666</v>
      </c>
      <c r="CI66" s="62">
        <f t="shared" si="154"/>
        <v>-0.0000003736024666</v>
      </c>
      <c r="CJ66" s="62">
        <f t="shared" si="154"/>
        <v>-0.0000003736024666</v>
      </c>
    </row>
    <row r="67">
      <c r="A67" s="34">
        <f t="shared" si="99"/>
        <v>17</v>
      </c>
      <c r="B67" s="15">
        <v>-8.369577992005443E-13</v>
      </c>
      <c r="M67" s="66">
        <f t="shared" si="133"/>
        <v>0</v>
      </c>
      <c r="N67" s="66">
        <f t="shared" ref="N67:T67" si="155">E$51*$B67</f>
        <v>0</v>
      </c>
      <c r="O67" s="66">
        <f t="shared" si="155"/>
        <v>0</v>
      </c>
      <c r="P67" s="66">
        <f t="shared" si="155"/>
        <v>0</v>
      </c>
      <c r="Q67" s="66">
        <f t="shared" si="155"/>
        <v>0</v>
      </c>
      <c r="R67" s="66">
        <f t="shared" si="155"/>
        <v>0</v>
      </c>
      <c r="S67" s="66">
        <f t="shared" si="155"/>
        <v>0</v>
      </c>
      <c r="T67" s="66">
        <f t="shared" si="155"/>
        <v>0</v>
      </c>
      <c r="V67" s="37">
        <v>2.2757500000000004</v>
      </c>
      <c r="W67" s="37">
        <v>2.2757500000000004</v>
      </c>
      <c r="X67" s="37">
        <v>2.2757500000000004</v>
      </c>
      <c r="Y67" s="37">
        <v>2.2757500000000004</v>
      </c>
      <c r="Z67" s="37">
        <v>2.2757500000000004</v>
      </c>
      <c r="AA67" s="37">
        <v>2.2757500000000004</v>
      </c>
      <c r="AB67" s="37">
        <v>2.2757500000000004</v>
      </c>
      <c r="AC67" s="37">
        <v>2.2757500000000004</v>
      </c>
      <c r="AE67" s="34">
        <f t="shared" ref="AE67:AL67" si="156">if(V67&gt;0,1,0)</f>
        <v>1</v>
      </c>
      <c r="AF67" s="34">
        <f t="shared" si="156"/>
        <v>1</v>
      </c>
      <c r="AG67" s="34">
        <f t="shared" si="156"/>
        <v>1</v>
      </c>
      <c r="AH67" s="34">
        <f t="shared" si="156"/>
        <v>1</v>
      </c>
      <c r="AI67" s="34">
        <f t="shared" si="156"/>
        <v>1</v>
      </c>
      <c r="AJ67" s="34">
        <f t="shared" si="156"/>
        <v>1</v>
      </c>
      <c r="AK67" s="34">
        <f t="shared" si="156"/>
        <v>1</v>
      </c>
      <c r="AL67" s="34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0">
        <f t="shared" ref="AW67:BD67" si="158">AW54-CC67</f>
        <v>0.7500003736</v>
      </c>
      <c r="AX67" s="70">
        <f t="shared" si="158"/>
        <v>0.7500003736</v>
      </c>
      <c r="AY67" s="70">
        <f t="shared" si="158"/>
        <v>0.7500003736</v>
      </c>
      <c r="AZ67" s="70">
        <f t="shared" si="158"/>
        <v>0.7500003736</v>
      </c>
      <c r="BA67" s="70">
        <f t="shared" si="158"/>
        <v>0.7500003736</v>
      </c>
      <c r="BB67" s="70">
        <f t="shared" si="158"/>
        <v>0.7500003736</v>
      </c>
      <c r="BC67" s="70">
        <f t="shared" si="158"/>
        <v>0.7500003736</v>
      </c>
      <c r="BD67" s="70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4">
        <v>0.6752500000000001</v>
      </c>
      <c r="BP67" s="34">
        <v>0.6752500000000001</v>
      </c>
      <c r="BQ67" s="34">
        <v>0.6752500000000001</v>
      </c>
      <c r="BR67" s="34">
        <v>0.6752500000000001</v>
      </c>
      <c r="BT67" s="34">
        <v>0.0</v>
      </c>
      <c r="BU67" s="34">
        <v>0.0</v>
      </c>
      <c r="BV67" s="34">
        <v>0.0</v>
      </c>
      <c r="BW67" s="34">
        <v>0.0</v>
      </c>
      <c r="BX67" s="34">
        <v>0.0</v>
      </c>
      <c r="BY67" s="34">
        <v>0.0</v>
      </c>
      <c r="BZ67" s="34">
        <v>0.0</v>
      </c>
      <c r="CA67" s="34">
        <v>0.0</v>
      </c>
      <c r="CC67" s="62">
        <f t="shared" ref="CC67:CJ67" si="159">CC60*$CD$62</f>
        <v>-0.0000003736024666</v>
      </c>
      <c r="CD67" s="62">
        <f t="shared" si="159"/>
        <v>-0.0000003736024666</v>
      </c>
      <c r="CE67" s="62">
        <f t="shared" si="159"/>
        <v>-0.0000003736024666</v>
      </c>
      <c r="CF67" s="62">
        <f t="shared" si="159"/>
        <v>-0.0000003736024666</v>
      </c>
      <c r="CG67" s="62">
        <f t="shared" si="159"/>
        <v>-0.0000003736024666</v>
      </c>
      <c r="CH67" s="62">
        <f t="shared" si="159"/>
        <v>-0.0000003736024666</v>
      </c>
      <c r="CI67" s="62">
        <f t="shared" si="159"/>
        <v>-0.0000003736024666</v>
      </c>
      <c r="CJ67" s="62">
        <f t="shared" si="159"/>
        <v>-0.0000003736024666</v>
      </c>
    </row>
    <row r="68">
      <c r="A68" s="34">
        <f t="shared" si="99"/>
        <v>18</v>
      </c>
      <c r="B68" s="15">
        <v>-4.275850867060395E-4</v>
      </c>
      <c r="M68" s="66">
        <f t="shared" si="133"/>
        <v>-0.000320688815</v>
      </c>
      <c r="N68" s="66">
        <f t="shared" ref="N68:T68" si="160">E$51*$B68</f>
        <v>-0.000320688815</v>
      </c>
      <c r="O68" s="66">
        <f t="shared" si="160"/>
        <v>-0.000320688815</v>
      </c>
      <c r="P68" s="66">
        <f t="shared" si="160"/>
        <v>-0.000320688815</v>
      </c>
      <c r="Q68" s="66">
        <f t="shared" si="160"/>
        <v>-0.000320688815</v>
      </c>
      <c r="R68" s="66">
        <f t="shared" si="160"/>
        <v>-0.000320688815</v>
      </c>
      <c r="S68" s="66">
        <f t="shared" si="160"/>
        <v>-0.000320688815</v>
      </c>
      <c r="T68" s="66">
        <f t="shared" si="160"/>
        <v>-0.000320688815</v>
      </c>
      <c r="V68" s="37">
        <v>0.5995000000000008</v>
      </c>
      <c r="W68" s="37">
        <v>0.5995000000000008</v>
      </c>
      <c r="X68" s="37">
        <v>0.5995000000000008</v>
      </c>
      <c r="Y68" s="37">
        <v>0.5995000000000008</v>
      </c>
      <c r="Z68" s="37">
        <v>0.5995000000000008</v>
      </c>
      <c r="AA68" s="37">
        <v>0.5995000000000008</v>
      </c>
      <c r="AB68" s="37">
        <v>0.5995000000000008</v>
      </c>
      <c r="AC68" s="37">
        <v>0.5995000000000008</v>
      </c>
      <c r="AE68" s="34">
        <f t="shared" ref="AE68:AL68" si="161">if(V68&gt;0,1,0)</f>
        <v>1</v>
      </c>
      <c r="AF68" s="34">
        <f t="shared" si="161"/>
        <v>1</v>
      </c>
      <c r="AG68" s="34">
        <f t="shared" si="161"/>
        <v>1</v>
      </c>
      <c r="AH68" s="34">
        <f t="shared" si="161"/>
        <v>1</v>
      </c>
      <c r="AI68" s="34">
        <f t="shared" si="161"/>
        <v>1</v>
      </c>
      <c r="AJ68" s="34">
        <f t="shared" si="161"/>
        <v>1</v>
      </c>
      <c r="AK68" s="34">
        <f t="shared" si="161"/>
        <v>1</v>
      </c>
      <c r="AL68" s="34">
        <f t="shared" si="161"/>
        <v>1</v>
      </c>
      <c r="AM68" s="67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4">
        <v>0.11650000000000027</v>
      </c>
      <c r="BP68" s="34">
        <v>0.11650000000000027</v>
      </c>
      <c r="BQ68" s="34">
        <v>0.11650000000000027</v>
      </c>
      <c r="BR68" s="34">
        <v>0.11650000000000027</v>
      </c>
      <c r="BT68" s="34">
        <v>-4.419037153645929E-13</v>
      </c>
      <c r="BU68" s="34">
        <v>-4.419037153645929E-13</v>
      </c>
      <c r="BV68" s="34">
        <v>-4.419037153645929E-13</v>
      </c>
      <c r="BW68" s="34">
        <v>-4.419037153645929E-13</v>
      </c>
      <c r="BX68" s="34">
        <v>-4.419037153645929E-13</v>
      </c>
      <c r="BY68" s="34">
        <v>-4.419037153645929E-13</v>
      </c>
      <c r="BZ68" s="34">
        <v>-4.419037153645929E-13</v>
      </c>
      <c r="CA68" s="34">
        <v>-4.419037153645929E-13</v>
      </c>
    </row>
    <row r="69">
      <c r="A69" s="34">
        <f t="shared" si="99"/>
        <v>19</v>
      </c>
      <c r="B69" s="15">
        <v>0.0</v>
      </c>
      <c r="M69" s="66">
        <f t="shared" si="133"/>
        <v>0</v>
      </c>
      <c r="N69" s="66">
        <f t="shared" ref="N69:T69" si="163">E$51*$B69</f>
        <v>0</v>
      </c>
      <c r="O69" s="66">
        <f t="shared" si="163"/>
        <v>0</v>
      </c>
      <c r="P69" s="66">
        <f t="shared" si="163"/>
        <v>0</v>
      </c>
      <c r="Q69" s="66">
        <f t="shared" si="163"/>
        <v>0</v>
      </c>
      <c r="R69" s="66">
        <f t="shared" si="163"/>
        <v>0</v>
      </c>
      <c r="S69" s="66">
        <f t="shared" si="163"/>
        <v>0</v>
      </c>
      <c r="T69" s="66">
        <f t="shared" si="163"/>
        <v>0</v>
      </c>
      <c r="V69" s="37">
        <v>8.285499999999999</v>
      </c>
      <c r="W69" s="37">
        <v>8.285499999999999</v>
      </c>
      <c r="X69" s="37">
        <v>8.285499999999999</v>
      </c>
      <c r="Y69" s="37">
        <v>8.285499999999999</v>
      </c>
      <c r="Z69" s="37">
        <v>8.285499999999999</v>
      </c>
      <c r="AA69" s="37">
        <v>8.285499999999999</v>
      </c>
      <c r="AB69" s="37">
        <v>8.285499999999999</v>
      </c>
      <c r="AC69" s="37">
        <v>8.285499999999999</v>
      </c>
      <c r="AE69" s="34">
        <f t="shared" ref="AE69:AL69" si="164">if(V69&gt;0,1,0)</f>
        <v>1</v>
      </c>
      <c r="AF69" s="34">
        <f t="shared" si="164"/>
        <v>1</v>
      </c>
      <c r="AG69" s="34">
        <f t="shared" si="164"/>
        <v>1</v>
      </c>
      <c r="AH69" s="34">
        <f t="shared" si="164"/>
        <v>1</v>
      </c>
      <c r="AI69" s="34">
        <f t="shared" si="164"/>
        <v>1</v>
      </c>
      <c r="AJ69" s="34">
        <f t="shared" si="164"/>
        <v>1</v>
      </c>
      <c r="AK69" s="34">
        <f t="shared" si="164"/>
        <v>1</v>
      </c>
      <c r="AL69" s="34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4">
        <v>2.6784999999999997</v>
      </c>
      <c r="BP69" s="34">
        <v>2.6784999999999997</v>
      </c>
      <c r="BQ69" s="34">
        <v>2.6784999999999997</v>
      </c>
      <c r="BR69" s="34">
        <v>2.6784999999999997</v>
      </c>
      <c r="BT69" s="34">
        <v>-0.014004808784094214</v>
      </c>
      <c r="BU69" s="34">
        <v>-0.014004808784094214</v>
      </c>
      <c r="BV69" s="34">
        <v>-0.014004808784094214</v>
      </c>
      <c r="BW69" s="34">
        <v>-0.014004808784094214</v>
      </c>
      <c r="BX69" s="34">
        <v>-0.014004808784094214</v>
      </c>
      <c r="BY69" s="34">
        <v>-0.014004808784094214</v>
      </c>
      <c r="BZ69" s="34">
        <v>-0.014004808784094214</v>
      </c>
      <c r="CA69" s="34">
        <v>-0.014004808784094214</v>
      </c>
    </row>
    <row r="70">
      <c r="A70" s="34">
        <f t="shared" si="99"/>
        <v>20</v>
      </c>
      <c r="B70" s="15">
        <v>0.0</v>
      </c>
      <c r="M70" s="66">
        <f t="shared" si="133"/>
        <v>0</v>
      </c>
      <c r="N70" s="66">
        <f t="shared" ref="N70:T70" si="166">E$51*$B70</f>
        <v>0</v>
      </c>
      <c r="O70" s="66">
        <f t="shared" si="166"/>
        <v>0</v>
      </c>
      <c r="P70" s="66">
        <f t="shared" si="166"/>
        <v>0</v>
      </c>
      <c r="Q70" s="66">
        <f t="shared" si="166"/>
        <v>0</v>
      </c>
      <c r="R70" s="66">
        <f t="shared" si="166"/>
        <v>0</v>
      </c>
      <c r="S70" s="66">
        <f t="shared" si="166"/>
        <v>0</v>
      </c>
      <c r="T70" s="66">
        <f t="shared" si="166"/>
        <v>0</v>
      </c>
      <c r="V70" s="37">
        <v>13.65175</v>
      </c>
      <c r="W70" s="37">
        <v>13.65175</v>
      </c>
      <c r="X70" s="37">
        <v>13.65175</v>
      </c>
      <c r="Y70" s="37">
        <v>13.65175</v>
      </c>
      <c r="Z70" s="37">
        <v>13.65175</v>
      </c>
      <c r="AA70" s="37">
        <v>13.65175</v>
      </c>
      <c r="AB70" s="37">
        <v>13.65175</v>
      </c>
      <c r="AC70" s="37">
        <v>13.65175</v>
      </c>
      <c r="AE70" s="34">
        <f t="shared" ref="AE70:AL70" si="167">if(V70&gt;0,1,0)</f>
        <v>1</v>
      </c>
      <c r="AF70" s="34">
        <f t="shared" si="167"/>
        <v>1</v>
      </c>
      <c r="AG70" s="34">
        <f t="shared" si="167"/>
        <v>1</v>
      </c>
      <c r="AH70" s="34">
        <f t="shared" si="167"/>
        <v>1</v>
      </c>
      <c r="AI70" s="34">
        <f t="shared" si="167"/>
        <v>1</v>
      </c>
      <c r="AJ70" s="34">
        <f t="shared" si="167"/>
        <v>1</v>
      </c>
      <c r="AK70" s="34">
        <f t="shared" si="167"/>
        <v>1</v>
      </c>
      <c r="AL70" s="34">
        <f t="shared" si="167"/>
        <v>1</v>
      </c>
      <c r="AM70" s="67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4">
        <v>4.46725</v>
      </c>
      <c r="BP70" s="34">
        <v>4.46725</v>
      </c>
      <c r="BQ70" s="34">
        <v>4.46725</v>
      </c>
      <c r="BR70" s="34">
        <v>4.46725</v>
      </c>
      <c r="BT70" s="34">
        <v>-0.014004808784094214</v>
      </c>
      <c r="BU70" s="34">
        <v>-0.014004808784094214</v>
      </c>
      <c r="BV70" s="34">
        <v>-0.014004808784094214</v>
      </c>
      <c r="BW70" s="34">
        <v>-0.014004808784094214</v>
      </c>
      <c r="BX70" s="34">
        <v>-0.014004808784094214</v>
      </c>
      <c r="BY70" s="34">
        <v>-0.014004808784094214</v>
      </c>
      <c r="BZ70" s="34">
        <v>-0.014004808784094214</v>
      </c>
      <c r="CA70" s="34">
        <v>-0.014004808784094214</v>
      </c>
    </row>
    <row r="71">
      <c r="B71" s="13"/>
      <c r="C71" s="13"/>
      <c r="AW71" s="16"/>
      <c r="BT71" s="34">
        <v>0.0</v>
      </c>
      <c r="BU71" s="34">
        <v>0.0</v>
      </c>
      <c r="BV71" s="34">
        <v>0.0</v>
      </c>
      <c r="BW71" s="34">
        <v>0.0</v>
      </c>
      <c r="BX71" s="34">
        <v>0.0</v>
      </c>
      <c r="BY71" s="34">
        <v>0.0</v>
      </c>
      <c r="BZ71" s="34">
        <v>0.0</v>
      </c>
      <c r="CA71" s="34">
        <v>0.0</v>
      </c>
    </row>
    <row r="72">
      <c r="BT72" s="34">
        <v>-0.014004808784094214</v>
      </c>
      <c r="BU72" s="34">
        <v>-0.014004808784094214</v>
      </c>
      <c r="BV72" s="34">
        <v>-0.014004808784094214</v>
      </c>
      <c r="BW72" s="34">
        <v>-0.014004808784094214</v>
      </c>
      <c r="BX72" s="34">
        <v>-0.014004808784094214</v>
      </c>
      <c r="BY72" s="34">
        <v>-0.014004808784094214</v>
      </c>
      <c r="BZ72" s="34">
        <v>-0.014004808784094214</v>
      </c>
      <c r="CA72" s="34">
        <v>-0.014004808784094214</v>
      </c>
    </row>
    <row r="73">
      <c r="BT73" s="34">
        <v>-6.277183494004083E-13</v>
      </c>
      <c r="BU73" s="34">
        <v>-6.277183494004083E-13</v>
      </c>
      <c r="BV73" s="34">
        <v>-6.277183494004083E-13</v>
      </c>
      <c r="BW73" s="34">
        <v>-6.277183494004083E-13</v>
      </c>
      <c r="BX73" s="34">
        <v>-6.277183494004083E-13</v>
      </c>
      <c r="BY73" s="34">
        <v>-6.277183494004083E-13</v>
      </c>
      <c r="BZ73" s="34">
        <v>-6.277183494004083E-13</v>
      </c>
      <c r="CA73" s="34">
        <v>-6.277183494004083E-13</v>
      </c>
    </row>
    <row r="74">
      <c r="BT74" s="34">
        <v>-3.206888150295296E-4</v>
      </c>
      <c r="BU74" s="34">
        <v>-3.206888150295296E-4</v>
      </c>
      <c r="BV74" s="34">
        <v>-3.206888150295296E-4</v>
      </c>
      <c r="BW74" s="34">
        <v>-3.206888150295296E-4</v>
      </c>
      <c r="BX74" s="34">
        <v>-3.206888150295296E-4</v>
      </c>
      <c r="BY74" s="34">
        <v>-3.206888150295296E-4</v>
      </c>
      <c r="BZ74" s="34">
        <v>-3.206888150295296E-4</v>
      </c>
      <c r="CA74" s="34">
        <v>-3.206888150295296E-4</v>
      </c>
    </row>
    <row r="75">
      <c r="BT75" s="34">
        <v>0.0</v>
      </c>
      <c r="BU75" s="34">
        <v>0.0</v>
      </c>
      <c r="BV75" s="34">
        <v>0.0</v>
      </c>
      <c r="BW75" s="34">
        <v>0.0</v>
      </c>
      <c r="BX75" s="34">
        <v>0.0</v>
      </c>
      <c r="BY75" s="34">
        <v>0.0</v>
      </c>
      <c r="BZ75" s="34">
        <v>0.0</v>
      </c>
      <c r="CA75" s="34">
        <v>0.0</v>
      </c>
    </row>
    <row r="76">
      <c r="BT76" s="34">
        <v>0.0</v>
      </c>
      <c r="BU76" s="34">
        <v>0.0</v>
      </c>
      <c r="BV76" s="34">
        <v>0.0</v>
      </c>
      <c r="BW76" s="34">
        <v>0.0</v>
      </c>
      <c r="BX76" s="34">
        <v>0.0</v>
      </c>
      <c r="BY76" s="34">
        <v>0.0</v>
      </c>
      <c r="BZ76" s="34">
        <v>0.0</v>
      </c>
      <c r="CA76" s="34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24</v>
      </c>
      <c r="C83" s="13"/>
      <c r="K83" s="7" t="s">
        <v>38</v>
      </c>
      <c r="P83" s="7" t="s">
        <v>39</v>
      </c>
      <c r="U83" s="7" t="s">
        <v>8</v>
      </c>
      <c r="V83" s="7" t="s">
        <v>14</v>
      </c>
      <c r="Z83" s="7" t="s">
        <v>40</v>
      </c>
      <c r="AE83" s="7" t="s">
        <v>24</v>
      </c>
      <c r="AK83" s="5"/>
      <c r="AL83" s="5"/>
      <c r="AM83" s="5"/>
      <c r="AN83" s="5"/>
      <c r="AQ83" s="7" t="s">
        <v>36</v>
      </c>
      <c r="AU83" s="7" t="s">
        <v>41</v>
      </c>
      <c r="AW83" s="16"/>
      <c r="AZ83" s="7" t="s">
        <v>42</v>
      </c>
      <c r="BC83" s="7" t="s">
        <v>43</v>
      </c>
    </row>
    <row r="84">
      <c r="A84" s="7">
        <v>1.0</v>
      </c>
      <c r="B84" s="71">
        <v>0.0</v>
      </c>
      <c r="C84" s="71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4">
        <f t="shared" ref="P84:S84" si="169">$B84*K$84+$C84*K$85+$D84*K$86+$E84*K$87+$F84*K$88+$G84*K$89+$H84*K$90+$I84*K$91</f>
        <v>0</v>
      </c>
      <c r="Q84" s="34">
        <f t="shared" si="169"/>
        <v>0</v>
      </c>
      <c r="R84" s="34">
        <f t="shared" si="169"/>
        <v>0</v>
      </c>
      <c r="S84" s="34">
        <f t="shared" si="169"/>
        <v>0</v>
      </c>
      <c r="U84" s="34">
        <v>2.595249999999999</v>
      </c>
      <c r="V84" s="34">
        <v>2.595249999999999</v>
      </c>
      <c r="W84" s="34">
        <v>2.595249999999999</v>
      </c>
      <c r="X84" s="34">
        <v>2.595249999999999</v>
      </c>
      <c r="Z84" s="34">
        <f t="shared" ref="Z84:AC84" si="170">IF(U84&gt;0,1,0)</f>
        <v>1</v>
      </c>
      <c r="AA84" s="34">
        <f t="shared" si="170"/>
        <v>1</v>
      </c>
      <c r="AB84" s="34">
        <f t="shared" si="170"/>
        <v>1</v>
      </c>
      <c r="AC84" s="34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4">
        <f t="shared" ref="AU84:AX84" si="172">AVERAGE(AE84:AE103)</f>
        <v>-0.00009620664462</v>
      </c>
      <c r="AV84" s="34">
        <f t="shared" si="172"/>
        <v>-0.00009620664462</v>
      </c>
      <c r="AW84" s="34">
        <f t="shared" si="172"/>
        <v>-0.00009620664462</v>
      </c>
      <c r="AX84" s="34">
        <f t="shared" si="172"/>
        <v>-0.00009620664462</v>
      </c>
      <c r="AZ84" s="18">
        <v>-2.848</v>
      </c>
      <c r="BA84" s="19">
        <v>5.975</v>
      </c>
      <c r="BC84" s="18">
        <v>-2.848</v>
      </c>
      <c r="BD84" s="18">
        <v>-10.429</v>
      </c>
      <c r="BE84" s="18">
        <v>-1.284</v>
      </c>
      <c r="BF84" s="18">
        <v>4.758</v>
      </c>
      <c r="BG84" s="46">
        <v>-3.938</v>
      </c>
      <c r="BH84" s="46">
        <v>8.525</v>
      </c>
      <c r="BI84" s="46">
        <v>-13.715</v>
      </c>
      <c r="BJ84" s="46">
        <v>-3.19</v>
      </c>
      <c r="BK84" s="46">
        <v>3.227</v>
      </c>
      <c r="BL84" s="46">
        <v>-5.014</v>
      </c>
      <c r="BM84" s="46">
        <v>0.491</v>
      </c>
      <c r="BN84" s="52">
        <v>-0.54</v>
      </c>
      <c r="BO84" s="52">
        <v>-2.032</v>
      </c>
      <c r="BP84" s="52">
        <v>-1.476</v>
      </c>
      <c r="BQ84" s="52">
        <v>-0.084</v>
      </c>
      <c r="BR84" s="52">
        <v>-1.618</v>
      </c>
      <c r="BS84" s="52">
        <v>2.238</v>
      </c>
      <c r="BT84" s="52">
        <v>-2.102</v>
      </c>
      <c r="BU84" s="52">
        <v>-1.059</v>
      </c>
      <c r="BV84" s="52">
        <v>2.642</v>
      </c>
    </row>
    <row r="85">
      <c r="A85" s="34">
        <f t="shared" ref="A85:A103" si="176">A84+1</f>
        <v>2</v>
      </c>
      <c r="B85" s="71">
        <v>0.08059211010589715</v>
      </c>
      <c r="C85" s="71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4">
        <f t="shared" ref="P85:S85" si="173">$B85*K$84+$C85*K$85+$D85*K$86+$E85*K$87+$F85*K$88+$G85*K$89+$H85*K$90+$I85*K$91</f>
        <v>0.4835526606</v>
      </c>
      <c r="Q85" s="34">
        <f t="shared" si="173"/>
        <v>0.4835526606</v>
      </c>
      <c r="R85" s="34">
        <f t="shared" si="173"/>
        <v>0.4835526606</v>
      </c>
      <c r="S85" s="34">
        <f t="shared" si="173"/>
        <v>0.4835526606</v>
      </c>
      <c r="U85" s="34">
        <v>0.0</v>
      </c>
      <c r="V85" s="34">
        <v>0.0</v>
      </c>
      <c r="W85" s="34">
        <v>0.0</v>
      </c>
      <c r="X85" s="34">
        <v>0.0</v>
      </c>
      <c r="Z85" s="34">
        <f t="shared" ref="Z85:AC85" si="174">IF(U85&gt;0,1,0)</f>
        <v>0</v>
      </c>
      <c r="AA85" s="34">
        <f t="shared" si="174"/>
        <v>0</v>
      </c>
      <c r="AB85" s="34">
        <f t="shared" si="174"/>
        <v>0</v>
      </c>
      <c r="AC85" s="34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18">
        <v>-10.429</v>
      </c>
      <c r="BA85" s="19">
        <v>-8.024</v>
      </c>
      <c r="BC85" s="19">
        <v>5.975</v>
      </c>
      <c r="BD85" s="19">
        <v>-8.024</v>
      </c>
      <c r="BE85" s="19">
        <v>2.872</v>
      </c>
      <c r="BF85" s="19">
        <v>5.955</v>
      </c>
      <c r="BG85" s="47">
        <v>-5.78</v>
      </c>
      <c r="BH85" s="49">
        <v>17.866</v>
      </c>
      <c r="BI85" s="52">
        <v>4.789</v>
      </c>
      <c r="BJ85" s="49">
        <v>13.309</v>
      </c>
      <c r="BK85" s="49">
        <v>18.344</v>
      </c>
      <c r="BL85" s="49">
        <v>-17.507</v>
      </c>
      <c r="BM85" s="52">
        <v>1.897</v>
      </c>
      <c r="BN85" s="52">
        <v>1.12</v>
      </c>
      <c r="BO85" s="52">
        <v>1.092</v>
      </c>
      <c r="BP85" s="52">
        <v>-1.606</v>
      </c>
      <c r="BQ85" s="52">
        <v>3.386</v>
      </c>
      <c r="BR85" s="52">
        <v>1.16</v>
      </c>
      <c r="BS85" s="52">
        <v>-1.671</v>
      </c>
      <c r="BT85" s="52">
        <v>1.924</v>
      </c>
      <c r="BU85" s="52">
        <v>4.297</v>
      </c>
      <c r="BV85" s="52">
        <v>2.981</v>
      </c>
    </row>
    <row r="86">
      <c r="A86" s="34">
        <f t="shared" si="176"/>
        <v>3</v>
      </c>
      <c r="B86" s="71">
        <v>7.084333120119741E-13</v>
      </c>
      <c r="C86" s="71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4">
        <f t="shared" ref="P86:S86" si="177">$B86*K$84+$C86*K$85+$D86*K$86+$E86*K$87+$F86*K$88+$G86*K$89+$H86*K$90+$I86*K$91</f>
        <v>0</v>
      </c>
      <c r="Q86" s="34">
        <f t="shared" si="177"/>
        <v>0</v>
      </c>
      <c r="R86" s="34">
        <f t="shared" si="177"/>
        <v>0</v>
      </c>
      <c r="S86" s="34">
        <f t="shared" si="177"/>
        <v>0</v>
      </c>
      <c r="U86" s="34">
        <v>1.4409999999999998</v>
      </c>
      <c r="V86" s="34">
        <v>1.4409999999999998</v>
      </c>
      <c r="W86" s="34">
        <v>1.4409999999999998</v>
      </c>
      <c r="X86" s="34">
        <v>1.4409999999999998</v>
      </c>
      <c r="Z86" s="34">
        <f t="shared" ref="Z86:AC86" si="178">IF(U86&gt;0,1,0)</f>
        <v>1</v>
      </c>
      <c r="AA86" s="34">
        <f t="shared" si="178"/>
        <v>1</v>
      </c>
      <c r="AB86" s="34">
        <f t="shared" si="178"/>
        <v>1</v>
      </c>
      <c r="AC86" s="34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27</v>
      </c>
      <c r="AW86" s="16"/>
      <c r="AZ86" s="18">
        <v>-1.284</v>
      </c>
      <c r="BA86" s="19">
        <v>2.872</v>
      </c>
    </row>
    <row r="87">
      <c r="A87" s="34">
        <f t="shared" si="176"/>
        <v>4</v>
      </c>
      <c r="B87" s="71">
        <v>0.0</v>
      </c>
      <c r="C87" s="71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4">
        <f t="shared" ref="P87:S87" si="180">$B87*K$84+$C87*K$85+$D87*K$86+$E87*K$87+$F87*K$88+$G87*K$89+$H87*K$90+$I87*K$91</f>
        <v>0</v>
      </c>
      <c r="Q87" s="34">
        <f t="shared" si="180"/>
        <v>0</v>
      </c>
      <c r="R87" s="34">
        <f t="shared" si="180"/>
        <v>0</v>
      </c>
      <c r="S87" s="34">
        <f t="shared" si="180"/>
        <v>0</v>
      </c>
      <c r="U87" s="34">
        <v>8.28475</v>
      </c>
      <c r="V87" s="34">
        <v>8.28475</v>
      </c>
      <c r="W87" s="34">
        <v>8.28475</v>
      </c>
      <c r="X87" s="34">
        <v>8.28475</v>
      </c>
      <c r="Z87" s="34">
        <f t="shared" ref="Z87:AC87" si="181">IF(U87&gt;0,1,0)</f>
        <v>1</v>
      </c>
      <c r="AA87" s="34">
        <f t="shared" si="181"/>
        <v>1</v>
      </c>
      <c r="AB87" s="34">
        <f t="shared" si="181"/>
        <v>1</v>
      </c>
      <c r="AC87" s="34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18">
        <v>4.758</v>
      </c>
      <c r="BA87" s="19">
        <v>5.955</v>
      </c>
    </row>
    <row r="88">
      <c r="A88" s="34">
        <f t="shared" si="176"/>
        <v>5</v>
      </c>
      <c r="B88" s="71">
        <v>0.08059211010589715</v>
      </c>
      <c r="C88" s="71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4">
        <f t="shared" ref="P88:S88" si="183">$B88*K$84+$C88*K$85+$D88*K$86+$E88*K$87+$F88*K$88+$G88*K$89+$H88*K$90+$I88*K$91</f>
        <v>0.4835526606</v>
      </c>
      <c r="Q88" s="34">
        <f t="shared" si="183"/>
        <v>0.4835526606</v>
      </c>
      <c r="R88" s="34">
        <f t="shared" si="183"/>
        <v>0.4835526606</v>
      </c>
      <c r="S88" s="34">
        <f t="shared" si="183"/>
        <v>0.4835526606</v>
      </c>
      <c r="U88" s="34">
        <v>0.0</v>
      </c>
      <c r="V88" s="34">
        <v>0.0</v>
      </c>
      <c r="W88" s="34">
        <v>0.0</v>
      </c>
      <c r="X88" s="34">
        <v>0.0</v>
      </c>
      <c r="Z88" s="34">
        <f t="shared" ref="Z88:AC88" si="184">IF(U88&gt;0,1,0)</f>
        <v>0</v>
      </c>
      <c r="AA88" s="34">
        <f t="shared" si="184"/>
        <v>0</v>
      </c>
      <c r="AB88" s="34">
        <f t="shared" si="184"/>
        <v>0</v>
      </c>
      <c r="AC88" s="34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4">
        <f t="shared" ref="AU88:AX88" si="186">AU84*$AU$86</f>
        <v>-0.0000009620664462</v>
      </c>
      <c r="AV88" s="34">
        <f t="shared" si="186"/>
        <v>-0.0000009620664462</v>
      </c>
      <c r="AW88" s="34">
        <f t="shared" si="186"/>
        <v>-0.0000009620664462</v>
      </c>
      <c r="AX88" s="34">
        <f t="shared" si="186"/>
        <v>-0.0000009620664462</v>
      </c>
      <c r="AZ88" s="46">
        <v>-3.938</v>
      </c>
      <c r="BA88" s="47">
        <v>-5.78</v>
      </c>
      <c r="BG88" s="7" t="s">
        <v>24</v>
      </c>
      <c r="BM88" s="7" t="s">
        <v>44</v>
      </c>
    </row>
    <row r="89">
      <c r="A89" s="34">
        <f t="shared" si="176"/>
        <v>6</v>
      </c>
      <c r="B89" s="71">
        <v>0.0</v>
      </c>
      <c r="C89" s="71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4">
        <f t="shared" ref="P89:S89" si="187">$B89*K$84+$C89*K$85+$D89*K$86+$E89*K$87+$F89*K$88+$G89*K$89+$H89*K$90+$I89*K$91</f>
        <v>0</v>
      </c>
      <c r="Q89" s="34">
        <f t="shared" si="187"/>
        <v>0</v>
      </c>
      <c r="R89" s="34">
        <f t="shared" si="187"/>
        <v>0</v>
      </c>
      <c r="S89" s="34">
        <f t="shared" si="187"/>
        <v>0</v>
      </c>
      <c r="U89" s="34">
        <v>20.04325</v>
      </c>
      <c r="V89" s="34">
        <v>20.04325</v>
      </c>
      <c r="W89" s="34">
        <v>20.04325</v>
      </c>
      <c r="X89" s="34">
        <v>20.04325</v>
      </c>
      <c r="Z89" s="34">
        <f t="shared" ref="Z89:AC89" si="188">IF(U89&gt;0,1,0)</f>
        <v>1</v>
      </c>
      <c r="AA89" s="34">
        <f t="shared" si="188"/>
        <v>1</v>
      </c>
      <c r="AB89" s="34">
        <f t="shared" si="188"/>
        <v>1</v>
      </c>
      <c r="AC89" s="34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6">
        <v>8.525</v>
      </c>
      <c r="BA89" s="49">
        <v>17.866</v>
      </c>
      <c r="BG89" s="34">
        <v>0.0</v>
      </c>
      <c r="BH89" s="34">
        <v>0.0</v>
      </c>
      <c r="BI89" s="34">
        <v>0.0</v>
      </c>
      <c r="BJ89" s="34">
        <v>0.0</v>
      </c>
      <c r="BM89" s="34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4">
        <f t="shared" si="190"/>
        <v>0.004044527323</v>
      </c>
      <c r="BO89" s="34">
        <f t="shared" si="190"/>
        <v>0.004044527323</v>
      </c>
      <c r="BP89" s="34">
        <f t="shared" si="190"/>
        <v>0.004044527323</v>
      </c>
      <c r="BQ89" s="7" t="s">
        <v>14</v>
      </c>
    </row>
    <row r="90">
      <c r="A90" s="34">
        <f t="shared" si="176"/>
        <v>7</v>
      </c>
      <c r="B90" s="71">
        <v>0.08059211010589715</v>
      </c>
      <c r="C90" s="71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4">
        <f t="shared" ref="P90:S90" si="191">$B90*K$84+$C90*K$85+$D90*K$86+$E90*K$87+$F90*K$88+$G90*K$89+$H90*K$90+$I90*K$91</f>
        <v>0.4835526606</v>
      </c>
      <c r="Q90" s="34">
        <f t="shared" si="191"/>
        <v>0.4835526606</v>
      </c>
      <c r="R90" s="34">
        <f t="shared" si="191"/>
        <v>0.4835526606</v>
      </c>
      <c r="S90" s="34">
        <f t="shared" si="191"/>
        <v>0.4835526606</v>
      </c>
      <c r="U90" s="34">
        <v>0.0</v>
      </c>
      <c r="V90" s="34">
        <v>0.0</v>
      </c>
      <c r="W90" s="34">
        <v>0.0</v>
      </c>
      <c r="X90" s="34">
        <v>0.0</v>
      </c>
      <c r="Z90" s="34">
        <f t="shared" ref="Z90:AC90" si="192">IF(U90&gt;0,1,0)</f>
        <v>0</v>
      </c>
      <c r="AA90" s="34">
        <f t="shared" si="192"/>
        <v>0</v>
      </c>
      <c r="AB90" s="34">
        <f t="shared" si="192"/>
        <v>0</v>
      </c>
      <c r="AC90" s="34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6">
        <v>-13.715</v>
      </c>
      <c r="BA90" s="52">
        <v>4.789</v>
      </c>
      <c r="BG90" s="34">
        <v>0.0</v>
      </c>
      <c r="BH90" s="34">
        <v>0.0</v>
      </c>
      <c r="BI90" s="34">
        <v>0.0</v>
      </c>
      <c r="BJ90" s="34">
        <v>0.0</v>
      </c>
      <c r="BM90" s="34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4">
        <f t="shared" si="194"/>
        <v>-0.003702031665</v>
      </c>
      <c r="BO90" s="34">
        <f t="shared" si="194"/>
        <v>-0.003702031665</v>
      </c>
      <c r="BP90" s="34">
        <f t="shared" si="194"/>
        <v>-0.003702031665</v>
      </c>
    </row>
    <row r="91">
      <c r="A91" s="34">
        <f t="shared" si="176"/>
        <v>8</v>
      </c>
      <c r="B91" s="71">
        <v>0.0</v>
      </c>
      <c r="C91" s="71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4">
        <f t="shared" ref="P91:S91" si="195">$B91*K$84+$C91*K$85+$D91*K$86+$E91*K$87+$F91*K$88+$G91*K$89+$H91*K$90+$I91*K$91</f>
        <v>0</v>
      </c>
      <c r="Q91" s="34">
        <f t="shared" si="195"/>
        <v>0</v>
      </c>
      <c r="R91" s="34">
        <f t="shared" si="195"/>
        <v>0</v>
      </c>
      <c r="S91" s="34">
        <f t="shared" si="195"/>
        <v>0</v>
      </c>
      <c r="U91" s="34">
        <v>7.83925</v>
      </c>
      <c r="V91" s="34">
        <v>7.83925</v>
      </c>
      <c r="W91" s="34">
        <v>7.83925</v>
      </c>
      <c r="X91" s="34">
        <v>7.83925</v>
      </c>
      <c r="Z91" s="34">
        <f t="shared" ref="Z91:AC91" si="196">IF(U91&gt;0,1,0)</f>
        <v>1</v>
      </c>
      <c r="AA91" s="34">
        <f t="shared" si="196"/>
        <v>1</v>
      </c>
      <c r="AB91" s="34">
        <f t="shared" si="196"/>
        <v>1</v>
      </c>
      <c r="AC91" s="34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6">
        <v>-3.19</v>
      </c>
      <c r="BA91" s="49">
        <v>13.309</v>
      </c>
      <c r="BG91" s="34">
        <v>4.250599872071845E-12</v>
      </c>
      <c r="BH91" s="34">
        <v>4.250599872071845E-12</v>
      </c>
      <c r="BI91" s="34">
        <v>4.250599872071845E-12</v>
      </c>
      <c r="BJ91" s="34">
        <v>4.250599872071845E-12</v>
      </c>
      <c r="BM91" s="7" t="s">
        <v>14</v>
      </c>
    </row>
    <row r="92">
      <c r="A92" s="34">
        <f t="shared" si="176"/>
        <v>9</v>
      </c>
      <c r="B92" s="71">
        <v>0.0</v>
      </c>
      <c r="C92" s="71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4">
        <f t="shared" ref="P92:S92" si="198">$B92*K$84+$C92*K$85+$D92*K$86+$E92*K$87+$F92*K$88+$G92*K$89+$H92*K$90+$I92*K$91</f>
        <v>0</v>
      </c>
      <c r="Q92" s="34">
        <f t="shared" si="198"/>
        <v>0</v>
      </c>
      <c r="R92" s="34">
        <f t="shared" si="198"/>
        <v>0</v>
      </c>
      <c r="S92" s="34">
        <f t="shared" si="198"/>
        <v>0</v>
      </c>
      <c r="U92" s="34">
        <v>16.428250000000002</v>
      </c>
      <c r="V92" s="34">
        <v>16.428250000000002</v>
      </c>
      <c r="W92" s="34">
        <v>16.428250000000002</v>
      </c>
      <c r="X92" s="34">
        <v>16.428250000000002</v>
      </c>
      <c r="Z92" s="34">
        <f t="shared" ref="Z92:AC92" si="199">IF(U92&gt;0,1,0)</f>
        <v>1</v>
      </c>
      <c r="AA92" s="34">
        <f t="shared" si="199"/>
        <v>1</v>
      </c>
      <c r="AB92" s="34">
        <f t="shared" si="199"/>
        <v>1</v>
      </c>
      <c r="AC92" s="34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25</v>
      </c>
      <c r="AW92" s="16"/>
      <c r="AZ92" s="46">
        <v>3.227</v>
      </c>
      <c r="BA92" s="49">
        <v>18.344</v>
      </c>
      <c r="BG92" s="34">
        <v>0.0</v>
      </c>
      <c r="BH92" s="34">
        <v>0.0</v>
      </c>
      <c r="BI92" s="34">
        <v>0.0</v>
      </c>
      <c r="BJ92" s="34">
        <v>0.0</v>
      </c>
      <c r="BM92" s="7">
        <v>0.01</v>
      </c>
      <c r="BN92" s="7" t="s">
        <v>27</v>
      </c>
    </row>
    <row r="93">
      <c r="A93" s="34">
        <f t="shared" si="176"/>
        <v>10</v>
      </c>
      <c r="B93" s="71">
        <v>0.08059211010589715</v>
      </c>
      <c r="C93" s="71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4">
        <f t="shared" ref="P93:S93" si="201">$B93*K$84+$C93*K$85+$D93*K$86+$E93*K$87+$F93*K$88+$G93*K$89+$H93*K$90+$I93*K$91</f>
        <v>0.4835526606</v>
      </c>
      <c r="Q93" s="34">
        <f t="shared" si="201"/>
        <v>0.4835526606</v>
      </c>
      <c r="R93" s="34">
        <f t="shared" si="201"/>
        <v>0.4835526606</v>
      </c>
      <c r="S93" s="34">
        <f t="shared" si="201"/>
        <v>0.4835526606</v>
      </c>
      <c r="U93" s="34">
        <v>0.0</v>
      </c>
      <c r="V93" s="34">
        <v>0.0</v>
      </c>
      <c r="W93" s="34">
        <v>0.0</v>
      </c>
      <c r="X93" s="34">
        <v>0.0</v>
      </c>
      <c r="Z93" s="34">
        <f t="shared" ref="Z93:AC93" si="202">IF(U93&gt;0,1,0)</f>
        <v>0</v>
      </c>
      <c r="AA93" s="34">
        <f t="shared" si="202"/>
        <v>0</v>
      </c>
      <c r="AB93" s="34">
        <f t="shared" si="202"/>
        <v>0</v>
      </c>
      <c r="AC93" s="34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4">
        <f t="shared" ref="AK93:AN93" si="204">AK84-BM94</f>
        <v>0.7499595547</v>
      </c>
      <c r="AL93" s="34">
        <f t="shared" si="204"/>
        <v>0.7499595547</v>
      </c>
      <c r="AM93" s="34">
        <f t="shared" si="204"/>
        <v>0.7499595547</v>
      </c>
      <c r="AN93" s="34">
        <f t="shared" si="204"/>
        <v>0.7499595547</v>
      </c>
      <c r="AW93" s="16"/>
      <c r="AZ93" s="46">
        <v>-5.014</v>
      </c>
      <c r="BA93" s="49">
        <v>-17.507</v>
      </c>
      <c r="BG93" s="34">
        <v>0.0</v>
      </c>
      <c r="BH93" s="34">
        <v>0.0</v>
      </c>
      <c r="BI93" s="34">
        <v>0.0</v>
      </c>
      <c r="BJ93" s="34">
        <v>0.0</v>
      </c>
    </row>
    <row r="94">
      <c r="A94" s="34">
        <f t="shared" si="176"/>
        <v>11</v>
      </c>
      <c r="B94" s="71">
        <v>0.0</v>
      </c>
      <c r="C94" s="71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4">
        <f t="shared" ref="P94:S94" si="205">$B94*K$84+$C94*K$85+$D94*K$86+$E94*K$87+$F94*K$88+$G94*K$89+$H94*K$90+$I94*K$91</f>
        <v>0</v>
      </c>
      <c r="Q94" s="34">
        <f t="shared" si="205"/>
        <v>0</v>
      </c>
      <c r="R94" s="34">
        <f t="shared" si="205"/>
        <v>0</v>
      </c>
      <c r="S94" s="34">
        <f t="shared" si="205"/>
        <v>0</v>
      </c>
      <c r="U94" s="34">
        <v>2.041</v>
      </c>
      <c r="V94" s="34">
        <v>2.041</v>
      </c>
      <c r="W94" s="34">
        <v>2.041</v>
      </c>
      <c r="X94" s="34">
        <v>2.041</v>
      </c>
      <c r="Z94" s="34">
        <f t="shared" ref="Z94:AC94" si="206">IF(U94&gt;0,1,0)</f>
        <v>1</v>
      </c>
      <c r="AA94" s="34">
        <f t="shared" si="206"/>
        <v>1</v>
      </c>
      <c r="AB94" s="34">
        <f t="shared" si="206"/>
        <v>1</v>
      </c>
      <c r="AC94" s="34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4">
        <f t="shared" ref="AK94:AN94" si="208">AK85-BM95</f>
        <v>0.7500370203</v>
      </c>
      <c r="AL94" s="34">
        <f t="shared" si="208"/>
        <v>0.7500370203</v>
      </c>
      <c r="AM94" s="34">
        <f t="shared" si="208"/>
        <v>0.7500370203</v>
      </c>
      <c r="AN94" s="34">
        <f t="shared" si="208"/>
        <v>0.7500370203</v>
      </c>
      <c r="AW94" s="16"/>
      <c r="AZ94" s="46">
        <v>0.491</v>
      </c>
      <c r="BA94" s="52">
        <v>1.897</v>
      </c>
      <c r="BG94" s="34">
        <v>0.0</v>
      </c>
      <c r="BH94" s="34">
        <v>0.0</v>
      </c>
      <c r="BI94" s="34">
        <v>0.0</v>
      </c>
      <c r="BJ94" s="34">
        <v>0.0</v>
      </c>
      <c r="BM94" s="34">
        <f t="shared" ref="BM94:BP94" si="209">BM89*$BM$92</f>
        <v>0.00004044527323</v>
      </c>
      <c r="BN94" s="34">
        <f t="shared" si="209"/>
        <v>0.00004044527323</v>
      </c>
      <c r="BO94" s="34">
        <f t="shared" si="209"/>
        <v>0.00004044527323</v>
      </c>
      <c r="BP94" s="34">
        <f t="shared" si="209"/>
        <v>0.00004044527323</v>
      </c>
    </row>
    <row r="95">
      <c r="A95" s="34">
        <f t="shared" si="176"/>
        <v>12</v>
      </c>
      <c r="B95" s="71">
        <v>-4.419037153645929E-13</v>
      </c>
      <c r="C95" s="71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4">
        <f t="shared" ref="P95:S95" si="210">$B95*K$84+$C95*K$85+$D95*K$86+$E95*K$87+$F95*K$88+$G95*K$89+$H95*K$90+$I95*K$91</f>
        <v>0</v>
      </c>
      <c r="Q95" s="34">
        <f t="shared" si="210"/>
        <v>0</v>
      </c>
      <c r="R95" s="34">
        <f t="shared" si="210"/>
        <v>0</v>
      </c>
      <c r="S95" s="34">
        <f t="shared" si="210"/>
        <v>0</v>
      </c>
      <c r="U95" s="34">
        <v>0.685</v>
      </c>
      <c r="V95" s="34">
        <v>0.685</v>
      </c>
      <c r="W95" s="34">
        <v>0.685</v>
      </c>
      <c r="X95" s="34">
        <v>0.685</v>
      </c>
      <c r="Z95" s="34">
        <f t="shared" ref="Z95:AC95" si="211">IF(U95&gt;0,1,0)</f>
        <v>1</v>
      </c>
      <c r="AA95" s="34">
        <f t="shared" si="211"/>
        <v>1</v>
      </c>
      <c r="AB95" s="34">
        <f t="shared" si="211"/>
        <v>1</v>
      </c>
      <c r="AC95" s="34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2">
        <v>-0.54</v>
      </c>
      <c r="BA95" s="52">
        <v>1.12</v>
      </c>
      <c r="BG95" s="34">
        <v>0.0</v>
      </c>
      <c r="BH95" s="34">
        <v>0.0</v>
      </c>
      <c r="BI95" s="34">
        <v>0.0</v>
      </c>
      <c r="BJ95" s="34">
        <v>0.0</v>
      </c>
      <c r="BM95" s="34">
        <f t="shared" ref="BM95:BP95" si="213">BM90*$BM$92</f>
        <v>-0.00003702031665</v>
      </c>
      <c r="BN95" s="34">
        <f t="shared" si="213"/>
        <v>-0.00003702031665</v>
      </c>
      <c r="BO95" s="34">
        <f t="shared" si="213"/>
        <v>-0.00003702031665</v>
      </c>
      <c r="BP95" s="34">
        <f t="shared" si="213"/>
        <v>-0.00003702031665</v>
      </c>
    </row>
    <row r="96">
      <c r="A96" s="34">
        <f t="shared" si="176"/>
        <v>13</v>
      </c>
      <c r="B96" s="71">
        <v>-0.014004808784094214</v>
      </c>
      <c r="C96" s="71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4">
        <f t="shared" ref="P96:S96" si="214">$B96*K$84+$C96*K$85+$D96*K$86+$E96*K$87+$F96*K$88+$G96*K$89+$H96*K$90+$I96*K$91</f>
        <v>-0.0840288527</v>
      </c>
      <c r="Q96" s="34">
        <f t="shared" si="214"/>
        <v>-0.0840288527</v>
      </c>
      <c r="R96" s="34">
        <f t="shared" si="214"/>
        <v>-0.0840288527</v>
      </c>
      <c r="S96" s="34">
        <f t="shared" si="214"/>
        <v>-0.0840288527</v>
      </c>
      <c r="U96" s="34">
        <v>0.0</v>
      </c>
      <c r="V96" s="34">
        <v>0.0</v>
      </c>
      <c r="W96" s="34">
        <v>0.0</v>
      </c>
      <c r="X96" s="34">
        <v>0.0</v>
      </c>
      <c r="Z96" s="34">
        <f t="shared" ref="Z96:AC96" si="215">IF(U96&gt;0,1,0)</f>
        <v>0</v>
      </c>
      <c r="AA96" s="34">
        <f t="shared" si="215"/>
        <v>0</v>
      </c>
      <c r="AB96" s="34">
        <f t="shared" si="215"/>
        <v>0</v>
      </c>
      <c r="AC96" s="34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30</v>
      </c>
      <c r="AW96" s="16"/>
      <c r="AZ96" s="52">
        <v>-2.032</v>
      </c>
      <c r="BA96" s="52">
        <v>1.092</v>
      </c>
      <c r="BG96" s="34">
        <v>0.0</v>
      </c>
      <c r="BH96" s="34">
        <v>0.0</v>
      </c>
      <c r="BI96" s="34">
        <v>0.0</v>
      </c>
      <c r="BJ96" s="34">
        <v>0.0</v>
      </c>
    </row>
    <row r="97">
      <c r="A97" s="34">
        <f t="shared" si="176"/>
        <v>14</v>
      </c>
      <c r="B97" s="71">
        <v>-0.014004808784094214</v>
      </c>
      <c r="C97" s="71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4">
        <f t="shared" ref="P97:S97" si="217">$B97*K$84+$C97*K$85+$D97*K$86+$E97*K$87+$F97*K$88+$G97*K$89+$H97*K$90+$I97*K$91</f>
        <v>-0.0840288527</v>
      </c>
      <c r="Q97" s="34">
        <f t="shared" si="217"/>
        <v>-0.0840288527</v>
      </c>
      <c r="R97" s="34">
        <f t="shared" si="217"/>
        <v>-0.0840288527</v>
      </c>
      <c r="S97" s="34">
        <f t="shared" si="217"/>
        <v>-0.0840288527</v>
      </c>
      <c r="U97" s="34">
        <v>0.0</v>
      </c>
      <c r="V97" s="34">
        <v>0.0</v>
      </c>
      <c r="W97" s="34">
        <v>0.0</v>
      </c>
      <c r="X97" s="34">
        <v>0.0</v>
      </c>
      <c r="Z97" s="34">
        <f t="shared" ref="Z97:AC97" si="218">IF(U97&gt;0,1,0)</f>
        <v>0</v>
      </c>
      <c r="AA97" s="34">
        <f t="shared" si="218"/>
        <v>0</v>
      </c>
      <c r="AB97" s="34">
        <f t="shared" si="218"/>
        <v>0</v>
      </c>
      <c r="AC97" s="34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4">
        <f t="shared" ref="AK97:AN97" si="220">AK89-AU88</f>
        <v>0.2500009621</v>
      </c>
      <c r="AL97" s="34">
        <f t="shared" si="220"/>
        <v>0.2500009621</v>
      </c>
      <c r="AM97" s="34">
        <f t="shared" si="220"/>
        <v>0.2500009621</v>
      </c>
      <c r="AN97" s="34">
        <f t="shared" si="220"/>
        <v>0.2500009621</v>
      </c>
      <c r="AW97" s="16"/>
      <c r="AZ97" s="52">
        <v>-1.476</v>
      </c>
      <c r="BA97" s="52">
        <v>-1.606</v>
      </c>
      <c r="BG97" s="34">
        <v>0.0</v>
      </c>
      <c r="BH97" s="34">
        <v>0.0</v>
      </c>
      <c r="BI97" s="34">
        <v>0.0</v>
      </c>
      <c r="BJ97" s="34">
        <v>0.0</v>
      </c>
    </row>
    <row r="98">
      <c r="A98" s="34">
        <f t="shared" si="176"/>
        <v>15</v>
      </c>
      <c r="B98" s="71">
        <v>0.0</v>
      </c>
      <c r="C98" s="71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4">
        <f t="shared" ref="P98:S98" si="221">$B98*K$84+$C98*K$85+$D98*K$86+$E98*K$87+$F98*K$88+$G98*K$89+$H98*K$90+$I98*K$91</f>
        <v>0</v>
      </c>
      <c r="Q98" s="34">
        <f t="shared" si="221"/>
        <v>0</v>
      </c>
      <c r="R98" s="34">
        <f t="shared" si="221"/>
        <v>0</v>
      </c>
      <c r="S98" s="34">
        <f t="shared" si="221"/>
        <v>0</v>
      </c>
      <c r="U98" s="34">
        <v>2.7265</v>
      </c>
      <c r="V98" s="34">
        <v>2.7265</v>
      </c>
      <c r="W98" s="34">
        <v>2.7265</v>
      </c>
      <c r="X98" s="34">
        <v>2.7265</v>
      </c>
      <c r="Z98" s="34">
        <f t="shared" ref="Z98:AC98" si="222">IF(U98&gt;0,1,0)</f>
        <v>1</v>
      </c>
      <c r="AA98" s="34">
        <f t="shared" si="222"/>
        <v>1</v>
      </c>
      <c r="AB98" s="34">
        <f t="shared" si="222"/>
        <v>1</v>
      </c>
      <c r="AC98" s="34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2">
        <v>-0.084</v>
      </c>
      <c r="BA98" s="52">
        <v>3.386</v>
      </c>
      <c r="BG98" s="34">
        <v>0.0</v>
      </c>
      <c r="BH98" s="34">
        <v>0.0</v>
      </c>
      <c r="BI98" s="34">
        <v>0.0</v>
      </c>
      <c r="BJ98" s="34">
        <v>0.0</v>
      </c>
    </row>
    <row r="99">
      <c r="A99" s="34">
        <f t="shared" si="176"/>
        <v>16</v>
      </c>
      <c r="B99" s="71">
        <v>-0.014004808784094214</v>
      </c>
      <c r="C99" s="71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4">
        <f t="shared" ref="P99:S99" si="224">$B99*K$84+$C99*K$85+$D99*K$86+$E99*K$87+$F99*K$88+$G99*K$89+$H99*K$90+$I99*K$91</f>
        <v>-0.0840288527</v>
      </c>
      <c r="Q99" s="34">
        <f t="shared" si="224"/>
        <v>-0.0840288527</v>
      </c>
      <c r="R99" s="34">
        <f t="shared" si="224"/>
        <v>-0.0840288527</v>
      </c>
      <c r="S99" s="34">
        <f t="shared" si="224"/>
        <v>-0.0840288527</v>
      </c>
      <c r="U99" s="34">
        <v>0.0</v>
      </c>
      <c r="V99" s="34">
        <v>0.0</v>
      </c>
      <c r="W99" s="34">
        <v>0.0</v>
      </c>
      <c r="X99" s="34">
        <v>0.0</v>
      </c>
      <c r="Z99" s="34">
        <f t="shared" ref="Z99:AC99" si="225">IF(U99&gt;0,1,0)</f>
        <v>0</v>
      </c>
      <c r="AA99" s="34">
        <f t="shared" si="225"/>
        <v>0</v>
      </c>
      <c r="AB99" s="34">
        <f t="shared" si="225"/>
        <v>0</v>
      </c>
      <c r="AC99" s="34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2">
        <v>-1.618</v>
      </c>
      <c r="BA99" s="52">
        <v>1.16</v>
      </c>
      <c r="BG99" s="34">
        <v>0.0</v>
      </c>
      <c r="BH99" s="34">
        <v>0.0</v>
      </c>
      <c r="BI99" s="34">
        <v>0.0</v>
      </c>
      <c r="BJ99" s="34">
        <v>0.0</v>
      </c>
    </row>
    <row r="100">
      <c r="A100" s="34">
        <f t="shared" si="176"/>
        <v>17</v>
      </c>
      <c r="B100" s="71">
        <v>-6.277183494004083E-13</v>
      </c>
      <c r="C100" s="71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4">
        <f t="shared" ref="P100:S100" si="227">$B100*K$84+$C100*K$85+$D100*K$86+$E100*K$87+$F100*K$88+$G100*K$89+$H100*K$90+$I100*K$91</f>
        <v>0</v>
      </c>
      <c r="Q100" s="34">
        <f t="shared" si="227"/>
        <v>0</v>
      </c>
      <c r="R100" s="34">
        <f t="shared" si="227"/>
        <v>0</v>
      </c>
      <c r="S100" s="34">
        <f t="shared" si="227"/>
        <v>0</v>
      </c>
      <c r="U100" s="34">
        <v>0.6752500000000001</v>
      </c>
      <c r="V100" s="34">
        <v>0.6752500000000001</v>
      </c>
      <c r="W100" s="34">
        <v>0.6752500000000001</v>
      </c>
      <c r="X100" s="34">
        <v>0.6752500000000001</v>
      </c>
      <c r="Z100" s="34">
        <f t="shared" ref="Z100:AC100" si="228">IF(U100&gt;0,1,0)</f>
        <v>1</v>
      </c>
      <c r="AA100" s="34">
        <f t="shared" si="228"/>
        <v>1</v>
      </c>
      <c r="AB100" s="34">
        <f t="shared" si="228"/>
        <v>1</v>
      </c>
      <c r="AC100" s="34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2">
        <v>2.238</v>
      </c>
      <c r="BA100" s="52">
        <v>-1.671</v>
      </c>
      <c r="BG100" s="34">
        <v>-2.6514222921875575E-12</v>
      </c>
      <c r="BH100" s="34">
        <v>-2.6514222921875575E-12</v>
      </c>
      <c r="BI100" s="34">
        <v>-2.6514222921875575E-12</v>
      </c>
      <c r="BJ100" s="34">
        <v>-2.6514222921875575E-12</v>
      </c>
    </row>
    <row r="101">
      <c r="A101" s="34">
        <f t="shared" si="176"/>
        <v>18</v>
      </c>
      <c r="B101" s="71">
        <v>-3.206888150295296E-4</v>
      </c>
      <c r="C101" s="71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4">
        <f t="shared" ref="P101:S101" si="230">$B101*K$84+$C101*K$85+$D101*K$86+$E101*K$87+$F101*K$88+$G101*K$89+$H101*K$90+$I101*K$91</f>
        <v>-0.00192413289</v>
      </c>
      <c r="Q101" s="34">
        <f t="shared" si="230"/>
        <v>-0.00192413289</v>
      </c>
      <c r="R101" s="34">
        <f t="shared" si="230"/>
        <v>-0.00192413289</v>
      </c>
      <c r="S101" s="34">
        <f t="shared" si="230"/>
        <v>-0.00192413289</v>
      </c>
      <c r="U101" s="34">
        <v>0.11650000000000027</v>
      </c>
      <c r="V101" s="34">
        <v>0.11650000000000027</v>
      </c>
      <c r="W101" s="34">
        <v>0.11650000000000027</v>
      </c>
      <c r="X101" s="34">
        <v>0.11650000000000027</v>
      </c>
      <c r="Z101" s="34">
        <f t="shared" ref="Z101:AC101" si="231">IF(U101&gt;0,1,0)</f>
        <v>1</v>
      </c>
      <c r="AA101" s="34">
        <f t="shared" si="231"/>
        <v>1</v>
      </c>
      <c r="AB101" s="34">
        <f t="shared" si="231"/>
        <v>1</v>
      </c>
      <c r="AC101" s="34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2">
        <v>-2.102</v>
      </c>
      <c r="BA101" s="52">
        <v>1.924</v>
      </c>
      <c r="BG101" s="34">
        <v>0.0</v>
      </c>
      <c r="BH101" s="34">
        <v>0.0</v>
      </c>
      <c r="BI101" s="34">
        <v>0.0</v>
      </c>
      <c r="BJ101" s="34">
        <v>0.0</v>
      </c>
    </row>
    <row r="102">
      <c r="A102" s="34">
        <f t="shared" si="176"/>
        <v>19</v>
      </c>
      <c r="B102" s="71">
        <v>0.0</v>
      </c>
      <c r="C102" s="71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4">
        <f t="shared" ref="P102:S102" si="233">$B102*K$84+$C102*K$85+$D102*K$86+$E102*K$87+$F102*K$88+$G102*K$89+$H102*K$90+$I102*K$91</f>
        <v>0</v>
      </c>
      <c r="Q102" s="34">
        <f t="shared" si="233"/>
        <v>0</v>
      </c>
      <c r="R102" s="34">
        <f t="shared" si="233"/>
        <v>0</v>
      </c>
      <c r="S102" s="34">
        <f t="shared" si="233"/>
        <v>0</v>
      </c>
      <c r="U102" s="34">
        <v>2.6784999999999997</v>
      </c>
      <c r="V102" s="34">
        <v>2.6784999999999997</v>
      </c>
      <c r="W102" s="34">
        <v>2.6784999999999997</v>
      </c>
      <c r="X102" s="34">
        <v>2.6784999999999997</v>
      </c>
      <c r="Z102" s="34">
        <f t="shared" ref="Z102:AC102" si="234">IF(U102&gt;0,1,0)</f>
        <v>1</v>
      </c>
      <c r="AA102" s="34">
        <f t="shared" si="234"/>
        <v>1</v>
      </c>
      <c r="AB102" s="34">
        <f t="shared" si="234"/>
        <v>1</v>
      </c>
      <c r="AC102" s="34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2">
        <v>-1.059</v>
      </c>
      <c r="BA102" s="52">
        <v>4.297</v>
      </c>
      <c r="BG102" s="34">
        <v>0.0</v>
      </c>
      <c r="BH102" s="34">
        <v>0.0</v>
      </c>
      <c r="BI102" s="34">
        <v>0.0</v>
      </c>
      <c r="BJ102" s="34">
        <v>0.0</v>
      </c>
    </row>
    <row r="103">
      <c r="A103" s="34">
        <f t="shared" si="176"/>
        <v>20</v>
      </c>
      <c r="B103" s="71">
        <v>0.0</v>
      </c>
      <c r="C103" s="71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4">
        <f t="shared" ref="P103:S103" si="236">$B103*K$84+$C103*K$85+$D103*K$86+$E103*K$87+$F103*K$88+$G103*K$89+$H103*K$90+$I103*K$91</f>
        <v>0</v>
      </c>
      <c r="Q103" s="34">
        <f t="shared" si="236"/>
        <v>0</v>
      </c>
      <c r="R103" s="34">
        <f t="shared" si="236"/>
        <v>0</v>
      </c>
      <c r="S103" s="34">
        <f t="shared" si="236"/>
        <v>0</v>
      </c>
      <c r="U103" s="34">
        <v>4.46725</v>
      </c>
      <c r="V103" s="34">
        <v>4.46725</v>
      </c>
      <c r="W103" s="34">
        <v>4.46725</v>
      </c>
      <c r="X103" s="34">
        <v>4.46725</v>
      </c>
      <c r="Z103" s="34">
        <f t="shared" ref="Z103:AC103" si="237">IF(U103&gt;0,1,0)</f>
        <v>1</v>
      </c>
      <c r="AA103" s="34">
        <f t="shared" si="237"/>
        <v>1</v>
      </c>
      <c r="AB103" s="34">
        <f t="shared" si="237"/>
        <v>1</v>
      </c>
      <c r="AC103" s="34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2">
        <v>2.642</v>
      </c>
      <c r="BA103" s="52">
        <v>2.981</v>
      </c>
      <c r="BG103" s="34">
        <v>0.0</v>
      </c>
      <c r="BH103" s="34">
        <v>0.0</v>
      </c>
      <c r="BI103" s="34">
        <v>0.0</v>
      </c>
      <c r="BJ103" s="34">
        <v>0.0</v>
      </c>
    </row>
    <row r="104">
      <c r="B104" s="13"/>
      <c r="C104" s="13"/>
      <c r="AW104" s="16"/>
      <c r="BG104" s="34">
        <v>0.0</v>
      </c>
      <c r="BH104" s="34">
        <v>0.0</v>
      </c>
      <c r="BI104" s="34">
        <v>0.0</v>
      </c>
      <c r="BJ104" s="34">
        <v>0.0</v>
      </c>
    </row>
    <row r="105">
      <c r="B105" s="13"/>
      <c r="C105" s="13"/>
      <c r="AW105" s="16"/>
      <c r="BG105" s="34">
        <v>-3.76631009640245E-12</v>
      </c>
      <c r="BH105" s="34">
        <v>-3.76631009640245E-12</v>
      </c>
      <c r="BI105" s="34">
        <v>-3.76631009640245E-12</v>
      </c>
      <c r="BJ105" s="34">
        <v>-3.76631009640245E-12</v>
      </c>
    </row>
    <row r="106">
      <c r="B106" s="13"/>
      <c r="C106" s="13"/>
      <c r="AW106" s="16"/>
      <c r="BG106" s="34">
        <v>-0.0019241328901771775</v>
      </c>
      <c r="BH106" s="34">
        <v>-0.0019241328901771775</v>
      </c>
      <c r="BI106" s="34">
        <v>-0.0019241328901771775</v>
      </c>
      <c r="BJ106" s="34">
        <v>-0.0019241328901771775</v>
      </c>
    </row>
    <row r="107">
      <c r="B107" s="13"/>
      <c r="C107" s="13"/>
      <c r="AW107" s="16"/>
      <c r="BG107" s="34">
        <v>0.0</v>
      </c>
      <c r="BH107" s="34">
        <v>0.0</v>
      </c>
      <c r="BI107" s="34">
        <v>0.0</v>
      </c>
      <c r="BJ107" s="34">
        <v>0.0</v>
      </c>
    </row>
    <row r="108">
      <c r="B108" s="13"/>
      <c r="C108" s="13"/>
      <c r="AW108" s="16"/>
      <c r="BG108" s="34">
        <v>0.0</v>
      </c>
      <c r="BH108" s="34">
        <v>0.0</v>
      </c>
      <c r="BI108" s="34">
        <v>0.0</v>
      </c>
      <c r="BJ108" s="34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10.13"/>
    <col customWidth="1" min="9" max="9" width="2.63"/>
    <col customWidth="1" min="10" max="10" width="2.13"/>
    <col customWidth="1" min="11" max="11" width="4.0"/>
    <col customWidth="1" min="12" max="12" width="2.63"/>
    <col customWidth="1" min="13" max="13" width="2.88"/>
    <col customWidth="1" min="14" max="14" width="2.38"/>
    <col customWidth="1" min="15" max="15" width="9.88"/>
    <col customWidth="1" min="16" max="16" width="6.88"/>
    <col customWidth="1" min="17" max="17" width="2.5"/>
    <col customWidth="1" min="18" max="18" width="2.88"/>
    <col customWidth="1" min="19" max="19" width="2.75"/>
    <col customWidth="1" min="20" max="20" width="2.13"/>
    <col customWidth="1" min="21" max="21" width="3.25"/>
    <col customWidth="1" min="22" max="22" width="2.38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28.25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15.75"/>
    <col customWidth="1" min="48" max="48" width="3.75"/>
    <col customWidth="1" min="49" max="49" width="9.75"/>
    <col customWidth="1" min="50" max="50" width="6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1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-2.848</v>
      </c>
      <c r="C3" s="19">
        <v>5.975</v>
      </c>
      <c r="E3" s="4">
        <v>0.75</v>
      </c>
      <c r="F3" s="4">
        <v>0.75</v>
      </c>
      <c r="G3" s="4">
        <v>0.75</v>
      </c>
      <c r="H3" s="4">
        <v>0.75</v>
      </c>
      <c r="J3" s="24">
        <f t="shared" ref="J3:M3" si="1">($B3*E$3+$C3*E$4)+E$8</f>
        <v>2.59525</v>
      </c>
      <c r="K3" s="24">
        <f t="shared" si="1"/>
        <v>2.59525</v>
      </c>
      <c r="L3" s="24">
        <f t="shared" si="1"/>
        <v>2.59525</v>
      </c>
      <c r="M3" s="24">
        <f t="shared" si="1"/>
        <v>2.59525</v>
      </c>
      <c r="O3" s="24">
        <f t="shared" ref="O3:R3" si="2">max(0,J3)</f>
        <v>2.59525</v>
      </c>
      <c r="P3" s="24">
        <f t="shared" si="2"/>
        <v>2.59525</v>
      </c>
      <c r="Q3" s="24">
        <f t="shared" si="2"/>
        <v>2.59525</v>
      </c>
      <c r="R3" s="24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4">
        <f t="shared" ref="AC3:AJ3" si="3">($O3*T$3+$P3*T$4+$Q3*T$5+$R3*T$6)+T$9</f>
        <v>8.03575</v>
      </c>
      <c r="AD3" s="24">
        <f t="shared" si="3"/>
        <v>8.03575</v>
      </c>
      <c r="AE3" s="24">
        <f t="shared" si="3"/>
        <v>8.03575</v>
      </c>
      <c r="AF3" s="24">
        <f t="shared" si="3"/>
        <v>8.03575</v>
      </c>
      <c r="AG3" s="24">
        <f t="shared" si="3"/>
        <v>8.03575</v>
      </c>
      <c r="AH3" s="24">
        <f t="shared" si="3"/>
        <v>8.03575</v>
      </c>
      <c r="AI3" s="24">
        <f t="shared" si="3"/>
        <v>8.03575</v>
      </c>
      <c r="AJ3" s="24">
        <f t="shared" si="3"/>
        <v>8.03575</v>
      </c>
      <c r="AL3" s="30">
        <f t="shared" ref="AL3:AS3" si="4">max(0,AC3)</f>
        <v>8.03575</v>
      </c>
      <c r="AM3" s="30">
        <f t="shared" si="4"/>
        <v>8.03575</v>
      </c>
      <c r="AN3" s="30">
        <f t="shared" si="4"/>
        <v>8.03575</v>
      </c>
      <c r="AO3" s="30">
        <f t="shared" si="4"/>
        <v>8.03575</v>
      </c>
      <c r="AP3" s="30">
        <f t="shared" si="4"/>
        <v>8.03575</v>
      </c>
      <c r="AQ3" s="30">
        <f t="shared" si="4"/>
        <v>8.03575</v>
      </c>
      <c r="AR3" s="30">
        <f t="shared" si="4"/>
        <v>8.03575</v>
      </c>
      <c r="AS3" s="30">
        <f t="shared" si="4"/>
        <v>8.03575</v>
      </c>
      <c r="AT3" s="31" t="s">
        <v>14</v>
      </c>
      <c r="AU3" s="1">
        <v>0.75</v>
      </c>
      <c r="AW3" s="33">
        <f t="shared" ref="AW3:AW22" si="9">($AL3*AU$3+$AM3*AU$4+$AN3*AU$5+$AO3*AU$6+$AP3*AU$7+$AQ3*AU$8+$AR3*AU$9+$AS3*AU$10)+AU$13</f>
        <v>48.4645</v>
      </c>
      <c r="AY3" s="34">
        <f t="shared" ref="AY3:AY22" si="10">1/(1+EXP(-AW3))
</f>
        <v>1</v>
      </c>
    </row>
    <row r="4">
      <c r="A4" s="17">
        <f t="shared" ref="A4:A22" si="11">A3+1</f>
        <v>2</v>
      </c>
      <c r="B4" s="18">
        <v>-10.429</v>
      </c>
      <c r="C4" s="19">
        <v>-8.024</v>
      </c>
      <c r="E4" s="4">
        <v>0.75</v>
      </c>
      <c r="F4" s="4">
        <v>0.75</v>
      </c>
      <c r="G4" s="4">
        <v>0.75</v>
      </c>
      <c r="H4" s="4">
        <v>0.75</v>
      </c>
      <c r="J4" s="34">
        <f t="shared" ref="J4:M4" si="5">($B4*E$3+$C4*E$4)+E$8</f>
        <v>-13.58975</v>
      </c>
      <c r="K4" s="34">
        <f t="shared" si="5"/>
        <v>-13.58975</v>
      </c>
      <c r="L4" s="34">
        <f t="shared" si="5"/>
        <v>-13.58975</v>
      </c>
      <c r="M4" s="34">
        <f t="shared" si="5"/>
        <v>-13.58975</v>
      </c>
      <c r="O4" s="34">
        <f t="shared" ref="O4:R4" si="6">max(0,J4)</f>
        <v>0</v>
      </c>
      <c r="P4" s="34">
        <f t="shared" si="6"/>
        <v>0</v>
      </c>
      <c r="Q4" s="34">
        <f t="shared" si="6"/>
        <v>0</v>
      </c>
      <c r="R4" s="34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4">
        <f t="shared" ref="AC4:AJ4" si="7">($O4*T$3+$P4*T$4+$Q4*T$5+$R4*T$6)+T$9</f>
        <v>0.25</v>
      </c>
      <c r="AD4" s="34">
        <f t="shared" si="7"/>
        <v>0.25</v>
      </c>
      <c r="AE4" s="34">
        <f t="shared" si="7"/>
        <v>0.25</v>
      </c>
      <c r="AF4" s="34">
        <f t="shared" si="7"/>
        <v>0.25</v>
      </c>
      <c r="AG4" s="34">
        <f t="shared" si="7"/>
        <v>0.25</v>
      </c>
      <c r="AH4" s="34">
        <f t="shared" si="7"/>
        <v>0.25</v>
      </c>
      <c r="AI4" s="34">
        <f t="shared" si="7"/>
        <v>0.25</v>
      </c>
      <c r="AJ4" s="34">
        <f t="shared" si="7"/>
        <v>0.25</v>
      </c>
      <c r="AL4" s="37">
        <f t="shared" ref="AL4:AS4" si="8">max(0,AC4)</f>
        <v>0.25</v>
      </c>
      <c r="AM4" s="37">
        <f t="shared" si="8"/>
        <v>0.25</v>
      </c>
      <c r="AN4" s="37">
        <f t="shared" si="8"/>
        <v>0.25</v>
      </c>
      <c r="AO4" s="37">
        <f t="shared" si="8"/>
        <v>0.25</v>
      </c>
      <c r="AP4" s="37">
        <f t="shared" si="8"/>
        <v>0.25</v>
      </c>
      <c r="AQ4" s="37">
        <f t="shared" si="8"/>
        <v>0.25</v>
      </c>
      <c r="AR4" s="37">
        <f t="shared" si="8"/>
        <v>0.25</v>
      </c>
      <c r="AS4" s="37">
        <f t="shared" si="8"/>
        <v>0.25</v>
      </c>
      <c r="AU4" s="1">
        <v>0.75</v>
      </c>
      <c r="AW4" s="33">
        <f t="shared" si="9"/>
        <v>1.75</v>
      </c>
      <c r="AY4" s="34">
        <f t="shared" si="10"/>
        <v>0.851952802</v>
      </c>
    </row>
    <row r="5">
      <c r="A5" s="17">
        <f t="shared" si="11"/>
        <v>3</v>
      </c>
      <c r="B5" s="18">
        <v>-1.284</v>
      </c>
      <c r="C5" s="19">
        <v>2.872</v>
      </c>
      <c r="E5" s="5"/>
      <c r="F5" s="5"/>
      <c r="G5" s="5"/>
      <c r="H5" s="5"/>
      <c r="J5" s="34">
        <f t="shared" ref="J5:M5" si="12">($B5*E$3+$C5*E$4)+E$8</f>
        <v>1.441</v>
      </c>
      <c r="K5" s="34">
        <f t="shared" si="12"/>
        <v>1.441</v>
      </c>
      <c r="L5" s="34">
        <f t="shared" si="12"/>
        <v>1.441</v>
      </c>
      <c r="M5" s="34">
        <f t="shared" si="12"/>
        <v>1.441</v>
      </c>
      <c r="O5" s="34">
        <f t="shared" ref="O5:R5" si="13">max(0,J5)</f>
        <v>1.441</v>
      </c>
      <c r="P5" s="34">
        <f t="shared" si="13"/>
        <v>1.441</v>
      </c>
      <c r="Q5" s="34">
        <f t="shared" si="13"/>
        <v>1.441</v>
      </c>
      <c r="R5" s="34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4">
        <f t="shared" ref="AC5:AJ5" si="14">($O5*T$3+$P5*T$4+$Q5*T$5+$R5*T$6)+T$9</f>
        <v>4.573</v>
      </c>
      <c r="AD5" s="34">
        <f t="shared" si="14"/>
        <v>4.573</v>
      </c>
      <c r="AE5" s="34">
        <f t="shared" si="14"/>
        <v>4.573</v>
      </c>
      <c r="AF5" s="34">
        <f t="shared" si="14"/>
        <v>4.573</v>
      </c>
      <c r="AG5" s="34">
        <f t="shared" si="14"/>
        <v>4.573</v>
      </c>
      <c r="AH5" s="34">
        <f t="shared" si="14"/>
        <v>4.573</v>
      </c>
      <c r="AI5" s="34">
        <f t="shared" si="14"/>
        <v>4.573</v>
      </c>
      <c r="AJ5" s="34">
        <f t="shared" si="14"/>
        <v>4.573</v>
      </c>
      <c r="AL5" s="37">
        <f t="shared" ref="AL5:AS5" si="15">max(0,AC5)</f>
        <v>4.573</v>
      </c>
      <c r="AM5" s="37">
        <f t="shared" si="15"/>
        <v>4.573</v>
      </c>
      <c r="AN5" s="37">
        <f t="shared" si="15"/>
        <v>4.573</v>
      </c>
      <c r="AO5" s="37">
        <f t="shared" si="15"/>
        <v>4.573</v>
      </c>
      <c r="AP5" s="37">
        <f t="shared" si="15"/>
        <v>4.573</v>
      </c>
      <c r="AQ5" s="37">
        <f t="shared" si="15"/>
        <v>4.573</v>
      </c>
      <c r="AR5" s="37">
        <f t="shared" si="15"/>
        <v>4.573</v>
      </c>
      <c r="AS5" s="37">
        <f t="shared" si="15"/>
        <v>4.573</v>
      </c>
      <c r="AU5" s="1">
        <v>0.75</v>
      </c>
      <c r="AW5" s="33">
        <f t="shared" si="9"/>
        <v>27.688</v>
      </c>
      <c r="AY5" s="34">
        <f t="shared" si="10"/>
        <v>1</v>
      </c>
    </row>
    <row r="6">
      <c r="A6" s="17">
        <f t="shared" si="11"/>
        <v>4</v>
      </c>
      <c r="B6" s="18">
        <v>4.758</v>
      </c>
      <c r="C6" s="19">
        <v>5.955</v>
      </c>
      <c r="E6" s="3" t="s">
        <v>15</v>
      </c>
      <c r="F6" s="5"/>
      <c r="G6" s="5"/>
      <c r="H6" s="5"/>
      <c r="J6" s="34">
        <f t="shared" ref="J6:M6" si="16">($B6*E$3+$C6*E$4)+E$8</f>
        <v>8.28475</v>
      </c>
      <c r="K6" s="34">
        <f t="shared" si="16"/>
        <v>8.28475</v>
      </c>
      <c r="L6" s="34">
        <f t="shared" si="16"/>
        <v>8.28475</v>
      </c>
      <c r="M6" s="34">
        <f t="shared" si="16"/>
        <v>8.28475</v>
      </c>
      <c r="O6" s="34">
        <f t="shared" ref="O6:R6" si="17">max(0,J6)</f>
        <v>8.28475</v>
      </c>
      <c r="P6" s="34">
        <f t="shared" si="17"/>
        <v>8.28475</v>
      </c>
      <c r="Q6" s="34">
        <f t="shared" si="17"/>
        <v>8.28475</v>
      </c>
      <c r="R6" s="34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4">
        <f t="shared" ref="AC6:AJ6" si="18">($O6*T$3+$P6*T$4+$Q6*T$5+$R6*T$6)+T$9</f>
        <v>25.10425</v>
      </c>
      <c r="AD6" s="34">
        <f t="shared" si="18"/>
        <v>25.10425</v>
      </c>
      <c r="AE6" s="34">
        <f t="shared" si="18"/>
        <v>25.10425</v>
      </c>
      <c r="AF6" s="34">
        <f t="shared" si="18"/>
        <v>25.10425</v>
      </c>
      <c r="AG6" s="34">
        <f t="shared" si="18"/>
        <v>25.10425</v>
      </c>
      <c r="AH6" s="34">
        <f t="shared" si="18"/>
        <v>25.10425</v>
      </c>
      <c r="AI6" s="34">
        <f t="shared" si="18"/>
        <v>25.10425</v>
      </c>
      <c r="AJ6" s="34">
        <f t="shared" si="18"/>
        <v>25.10425</v>
      </c>
      <c r="AL6" s="37">
        <f t="shared" ref="AL6:AS6" si="19">max(0,AC6)</f>
        <v>25.10425</v>
      </c>
      <c r="AM6" s="37">
        <f t="shared" si="19"/>
        <v>25.10425</v>
      </c>
      <c r="AN6" s="37">
        <f t="shared" si="19"/>
        <v>25.10425</v>
      </c>
      <c r="AO6" s="37">
        <f t="shared" si="19"/>
        <v>25.10425</v>
      </c>
      <c r="AP6" s="37">
        <f t="shared" si="19"/>
        <v>25.10425</v>
      </c>
      <c r="AQ6" s="37">
        <f t="shared" si="19"/>
        <v>25.10425</v>
      </c>
      <c r="AR6" s="37">
        <f t="shared" si="19"/>
        <v>25.10425</v>
      </c>
      <c r="AS6" s="37">
        <f t="shared" si="19"/>
        <v>25.10425</v>
      </c>
      <c r="AU6" s="1">
        <v>0.75</v>
      </c>
      <c r="AW6" s="33">
        <f t="shared" si="9"/>
        <v>150.8755</v>
      </c>
      <c r="AY6" s="34">
        <f t="shared" si="10"/>
        <v>1</v>
      </c>
    </row>
    <row r="7">
      <c r="A7" s="17">
        <f t="shared" si="11"/>
        <v>5</v>
      </c>
      <c r="B7" s="46">
        <v>-3.938</v>
      </c>
      <c r="C7" s="47">
        <v>-5.78</v>
      </c>
      <c r="E7" s="5"/>
      <c r="F7" s="5"/>
      <c r="G7" s="5"/>
      <c r="H7" s="5"/>
      <c r="J7" s="34">
        <f t="shared" ref="J7:M7" si="20">($B7*E$3+$C7*E$4)+E$8</f>
        <v>-7.0385</v>
      </c>
      <c r="K7" s="34">
        <f t="shared" si="20"/>
        <v>-7.0385</v>
      </c>
      <c r="L7" s="34">
        <f t="shared" si="20"/>
        <v>-7.0385</v>
      </c>
      <c r="M7" s="34">
        <f t="shared" si="20"/>
        <v>-7.0385</v>
      </c>
      <c r="O7" s="34">
        <f t="shared" ref="O7:R7" si="21">max(0,J7)</f>
        <v>0</v>
      </c>
      <c r="P7" s="34">
        <f t="shared" si="21"/>
        <v>0</v>
      </c>
      <c r="Q7" s="34">
        <f t="shared" si="21"/>
        <v>0</v>
      </c>
      <c r="R7" s="34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4">
        <f t="shared" ref="AC7:AJ7" si="22">($O7*T$3+$P7*T$4+$Q7*T$5+$R7*T$6)+T$9</f>
        <v>0.25</v>
      </c>
      <c r="AD7" s="34">
        <f t="shared" si="22"/>
        <v>0.25</v>
      </c>
      <c r="AE7" s="34">
        <f t="shared" si="22"/>
        <v>0.25</v>
      </c>
      <c r="AF7" s="34">
        <f t="shared" si="22"/>
        <v>0.25</v>
      </c>
      <c r="AG7" s="34">
        <f t="shared" si="22"/>
        <v>0.25</v>
      </c>
      <c r="AH7" s="34">
        <f t="shared" si="22"/>
        <v>0.25</v>
      </c>
      <c r="AI7" s="34">
        <f t="shared" si="22"/>
        <v>0.25</v>
      </c>
      <c r="AJ7" s="34">
        <f t="shared" si="22"/>
        <v>0.25</v>
      </c>
      <c r="AL7" s="37">
        <f t="shared" ref="AL7:AS7" si="23">max(0,AC7)</f>
        <v>0.25</v>
      </c>
      <c r="AM7" s="37">
        <f t="shared" si="23"/>
        <v>0.25</v>
      </c>
      <c r="AN7" s="37">
        <f t="shared" si="23"/>
        <v>0.25</v>
      </c>
      <c r="AO7" s="37">
        <f t="shared" si="23"/>
        <v>0.25</v>
      </c>
      <c r="AP7" s="37">
        <f t="shared" si="23"/>
        <v>0.25</v>
      </c>
      <c r="AQ7" s="37">
        <f t="shared" si="23"/>
        <v>0.25</v>
      </c>
      <c r="AR7" s="37">
        <f t="shared" si="23"/>
        <v>0.25</v>
      </c>
      <c r="AS7" s="37">
        <f t="shared" si="23"/>
        <v>0.25</v>
      </c>
      <c r="AU7" s="1">
        <v>0.75</v>
      </c>
      <c r="AW7" s="33">
        <f t="shared" si="9"/>
        <v>1.75</v>
      </c>
      <c r="AY7" s="34">
        <f t="shared" si="10"/>
        <v>0.851952802</v>
      </c>
    </row>
    <row r="8">
      <c r="A8" s="17">
        <f t="shared" si="11"/>
        <v>6</v>
      </c>
      <c r="B8" s="46">
        <v>8.525</v>
      </c>
      <c r="C8" s="49">
        <v>17.866</v>
      </c>
      <c r="E8" s="4">
        <v>0.25</v>
      </c>
      <c r="F8" s="4">
        <v>0.25</v>
      </c>
      <c r="G8" s="4">
        <v>0.25</v>
      </c>
      <c r="H8" s="4">
        <v>0.25</v>
      </c>
      <c r="J8" s="34">
        <f t="shared" ref="J8:M8" si="24">($B8*E$3+$C8*E$4)+E$8</f>
        <v>20.04325</v>
      </c>
      <c r="K8" s="34">
        <f t="shared" si="24"/>
        <v>20.04325</v>
      </c>
      <c r="L8" s="34">
        <f t="shared" si="24"/>
        <v>20.04325</v>
      </c>
      <c r="M8" s="34">
        <f t="shared" si="24"/>
        <v>20.04325</v>
      </c>
      <c r="O8" s="34">
        <f t="shared" ref="O8:R8" si="25">max(0,J8)</f>
        <v>20.04325</v>
      </c>
      <c r="P8" s="34">
        <f t="shared" si="25"/>
        <v>20.04325</v>
      </c>
      <c r="Q8" s="34">
        <f t="shared" si="25"/>
        <v>20.04325</v>
      </c>
      <c r="R8" s="34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4">
        <f t="shared" ref="AC8:AJ8" si="26">($O8*T$3+$P8*T$4+$Q8*T$5+$R8*T$6)+T$9</f>
        <v>60.37975</v>
      </c>
      <c r="AD8" s="34">
        <f t="shared" si="26"/>
        <v>60.37975</v>
      </c>
      <c r="AE8" s="34">
        <f t="shared" si="26"/>
        <v>60.37975</v>
      </c>
      <c r="AF8" s="34">
        <f t="shared" si="26"/>
        <v>60.37975</v>
      </c>
      <c r="AG8" s="34">
        <f t="shared" si="26"/>
        <v>60.37975</v>
      </c>
      <c r="AH8" s="34">
        <f t="shared" si="26"/>
        <v>60.37975</v>
      </c>
      <c r="AI8" s="34">
        <f t="shared" si="26"/>
        <v>60.37975</v>
      </c>
      <c r="AJ8" s="34">
        <f t="shared" si="26"/>
        <v>60.37975</v>
      </c>
      <c r="AL8" s="37">
        <f t="shared" ref="AL8:AS8" si="27">max(0,AC8)</f>
        <v>60.37975</v>
      </c>
      <c r="AM8" s="37">
        <f t="shared" si="27"/>
        <v>60.37975</v>
      </c>
      <c r="AN8" s="37">
        <f t="shared" si="27"/>
        <v>60.37975</v>
      </c>
      <c r="AO8" s="37">
        <f t="shared" si="27"/>
        <v>60.37975</v>
      </c>
      <c r="AP8" s="37">
        <f t="shared" si="27"/>
        <v>60.37975</v>
      </c>
      <c r="AQ8" s="37">
        <f t="shared" si="27"/>
        <v>60.37975</v>
      </c>
      <c r="AR8" s="37">
        <f t="shared" si="27"/>
        <v>60.37975</v>
      </c>
      <c r="AS8" s="37">
        <f t="shared" si="27"/>
        <v>60.37975</v>
      </c>
      <c r="AU8" s="1">
        <v>0.75</v>
      </c>
      <c r="AW8" s="33">
        <f t="shared" si="9"/>
        <v>362.5285</v>
      </c>
      <c r="AY8" s="34">
        <f t="shared" si="10"/>
        <v>1</v>
      </c>
    </row>
    <row r="9">
      <c r="A9" s="17">
        <f t="shared" si="11"/>
        <v>7</v>
      </c>
      <c r="B9" s="46">
        <v>-13.715</v>
      </c>
      <c r="C9" s="52">
        <v>4.789</v>
      </c>
      <c r="J9" s="34">
        <f t="shared" ref="J9:M9" si="28">($B9*E$3+$C9*E$4)+E$8</f>
        <v>-6.4445</v>
      </c>
      <c r="K9" s="34">
        <f t="shared" si="28"/>
        <v>-6.4445</v>
      </c>
      <c r="L9" s="34">
        <f t="shared" si="28"/>
        <v>-6.4445</v>
      </c>
      <c r="M9" s="34">
        <f t="shared" si="28"/>
        <v>-6.4445</v>
      </c>
      <c r="O9" s="34">
        <f t="shared" ref="O9:R9" si="29">max(0,J9)</f>
        <v>0</v>
      </c>
      <c r="P9" s="34">
        <f t="shared" si="29"/>
        <v>0</v>
      </c>
      <c r="Q9" s="34">
        <f t="shared" si="29"/>
        <v>0</v>
      </c>
      <c r="R9" s="34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4">
        <f t="shared" ref="AC9:AJ9" si="30">($O9*T$3+$P9*T$4+$Q9*T$5+$R9*T$6)+T$9</f>
        <v>0.25</v>
      </c>
      <c r="AD9" s="34">
        <f t="shared" si="30"/>
        <v>0.25</v>
      </c>
      <c r="AE9" s="34">
        <f t="shared" si="30"/>
        <v>0.25</v>
      </c>
      <c r="AF9" s="34">
        <f t="shared" si="30"/>
        <v>0.25</v>
      </c>
      <c r="AG9" s="34">
        <f t="shared" si="30"/>
        <v>0.25</v>
      </c>
      <c r="AH9" s="34">
        <f t="shared" si="30"/>
        <v>0.25</v>
      </c>
      <c r="AI9" s="34">
        <f t="shared" si="30"/>
        <v>0.25</v>
      </c>
      <c r="AJ9" s="34">
        <f t="shared" si="30"/>
        <v>0.25</v>
      </c>
      <c r="AL9" s="37">
        <f t="shared" ref="AL9:AS9" si="31">max(0,AC9)</f>
        <v>0.25</v>
      </c>
      <c r="AM9" s="37">
        <f t="shared" si="31"/>
        <v>0.25</v>
      </c>
      <c r="AN9" s="37">
        <f t="shared" si="31"/>
        <v>0.25</v>
      </c>
      <c r="AO9" s="37">
        <f t="shared" si="31"/>
        <v>0.25</v>
      </c>
      <c r="AP9" s="37">
        <f t="shared" si="31"/>
        <v>0.25</v>
      </c>
      <c r="AQ9" s="37">
        <f t="shared" si="31"/>
        <v>0.25</v>
      </c>
      <c r="AR9" s="37">
        <f t="shared" si="31"/>
        <v>0.25</v>
      </c>
      <c r="AS9" s="37">
        <f t="shared" si="31"/>
        <v>0.25</v>
      </c>
      <c r="AU9" s="1">
        <v>0.75</v>
      </c>
      <c r="AW9" s="33">
        <f t="shared" si="9"/>
        <v>1.75</v>
      </c>
      <c r="AY9" s="34">
        <f t="shared" si="10"/>
        <v>0.851952802</v>
      </c>
    </row>
    <row r="10">
      <c r="A10" s="17">
        <f t="shared" si="11"/>
        <v>8</v>
      </c>
      <c r="B10" s="46">
        <v>-3.19</v>
      </c>
      <c r="C10" s="49">
        <v>13.309</v>
      </c>
      <c r="E10" s="54" t="s">
        <v>16</v>
      </c>
      <c r="F10" s="55"/>
      <c r="G10" s="55"/>
      <c r="J10" s="34">
        <f t="shared" ref="J10:M10" si="32">($B10*E$3+$C10*E$4)+E$8</f>
        <v>7.83925</v>
      </c>
      <c r="K10" s="34">
        <f t="shared" si="32"/>
        <v>7.83925</v>
      </c>
      <c r="L10" s="34">
        <f t="shared" si="32"/>
        <v>7.83925</v>
      </c>
      <c r="M10" s="34">
        <f t="shared" si="32"/>
        <v>7.83925</v>
      </c>
      <c r="O10" s="34">
        <f t="shared" ref="O10:R10" si="33">max(0,J10)</f>
        <v>7.83925</v>
      </c>
      <c r="P10" s="34">
        <f t="shared" si="33"/>
        <v>7.83925</v>
      </c>
      <c r="Q10" s="34">
        <f t="shared" si="33"/>
        <v>7.83925</v>
      </c>
      <c r="R10" s="34">
        <f t="shared" si="33"/>
        <v>7.83925</v>
      </c>
      <c r="AC10" s="34">
        <f t="shared" ref="AC10:AJ10" si="34">($O10*T$3+$P10*T$4+$Q10*T$5+$R10*T$6)+T$9</f>
        <v>23.76775</v>
      </c>
      <c r="AD10" s="34">
        <f t="shared" si="34"/>
        <v>23.76775</v>
      </c>
      <c r="AE10" s="34">
        <f t="shared" si="34"/>
        <v>23.76775</v>
      </c>
      <c r="AF10" s="34">
        <f t="shared" si="34"/>
        <v>23.76775</v>
      </c>
      <c r="AG10" s="34">
        <f t="shared" si="34"/>
        <v>23.76775</v>
      </c>
      <c r="AH10" s="34">
        <f t="shared" si="34"/>
        <v>23.76775</v>
      </c>
      <c r="AI10" s="34">
        <f t="shared" si="34"/>
        <v>23.76775</v>
      </c>
      <c r="AJ10" s="34">
        <f t="shared" si="34"/>
        <v>23.76775</v>
      </c>
      <c r="AL10" s="37">
        <f t="shared" ref="AL10:AS10" si="35">max(0,AC10)</f>
        <v>23.76775</v>
      </c>
      <c r="AM10" s="37">
        <f t="shared" si="35"/>
        <v>23.76775</v>
      </c>
      <c r="AN10" s="37">
        <f t="shared" si="35"/>
        <v>23.76775</v>
      </c>
      <c r="AO10" s="37">
        <f t="shared" si="35"/>
        <v>23.76775</v>
      </c>
      <c r="AP10" s="37">
        <f t="shared" si="35"/>
        <v>23.76775</v>
      </c>
      <c r="AQ10" s="37">
        <f t="shared" si="35"/>
        <v>23.76775</v>
      </c>
      <c r="AR10" s="37">
        <f t="shared" si="35"/>
        <v>23.76775</v>
      </c>
      <c r="AS10" s="37">
        <f t="shared" si="35"/>
        <v>23.76775</v>
      </c>
      <c r="AU10" s="1">
        <v>0.75</v>
      </c>
      <c r="AW10" s="33">
        <f t="shared" si="9"/>
        <v>142.8565</v>
      </c>
      <c r="AY10" s="34">
        <f t="shared" si="10"/>
        <v>1</v>
      </c>
    </row>
    <row r="11">
      <c r="A11" s="17">
        <f t="shared" si="11"/>
        <v>9</v>
      </c>
      <c r="B11" s="46">
        <v>3.227</v>
      </c>
      <c r="C11" s="49">
        <v>18.344</v>
      </c>
      <c r="J11" s="34">
        <f t="shared" ref="J11:M11" si="36">($B11*E$3+$C11*E$4)+E$8</f>
        <v>16.42825</v>
      </c>
      <c r="K11" s="34">
        <f t="shared" si="36"/>
        <v>16.42825</v>
      </c>
      <c r="L11" s="34">
        <f t="shared" si="36"/>
        <v>16.42825</v>
      </c>
      <c r="M11" s="34">
        <f t="shared" si="36"/>
        <v>16.42825</v>
      </c>
      <c r="O11" s="34">
        <f t="shared" ref="O11:R11" si="37">max(0,J11)</f>
        <v>16.42825</v>
      </c>
      <c r="P11" s="34">
        <f t="shared" si="37"/>
        <v>16.42825</v>
      </c>
      <c r="Q11" s="34">
        <f t="shared" si="37"/>
        <v>16.42825</v>
      </c>
      <c r="R11" s="34">
        <f t="shared" si="37"/>
        <v>16.42825</v>
      </c>
      <c r="T11" s="54" t="s">
        <v>16</v>
      </c>
      <c r="U11" s="55"/>
      <c r="V11" s="55"/>
      <c r="W11" s="55"/>
      <c r="X11" s="55"/>
      <c r="Y11" s="55"/>
      <c r="AC11" s="34">
        <f t="shared" ref="AC11:AJ11" si="38">($O11*T$3+$P11*T$4+$Q11*T$5+$R11*T$6)+T$9</f>
        <v>49.53475</v>
      </c>
      <c r="AD11" s="34">
        <f t="shared" si="38"/>
        <v>49.53475</v>
      </c>
      <c r="AE11" s="34">
        <f t="shared" si="38"/>
        <v>49.53475</v>
      </c>
      <c r="AF11" s="34">
        <f t="shared" si="38"/>
        <v>49.53475</v>
      </c>
      <c r="AG11" s="34">
        <f t="shared" si="38"/>
        <v>49.53475</v>
      </c>
      <c r="AH11" s="34">
        <f t="shared" si="38"/>
        <v>49.53475</v>
      </c>
      <c r="AI11" s="34">
        <f t="shared" si="38"/>
        <v>49.53475</v>
      </c>
      <c r="AJ11" s="34">
        <f t="shared" si="38"/>
        <v>49.53475</v>
      </c>
      <c r="AL11" s="37">
        <f t="shared" ref="AL11:AS11" si="39">max(0,AC11)</f>
        <v>49.53475</v>
      </c>
      <c r="AM11" s="37">
        <f t="shared" si="39"/>
        <v>49.53475</v>
      </c>
      <c r="AN11" s="37">
        <f t="shared" si="39"/>
        <v>49.53475</v>
      </c>
      <c r="AO11" s="37">
        <f t="shared" si="39"/>
        <v>49.53475</v>
      </c>
      <c r="AP11" s="37">
        <f t="shared" si="39"/>
        <v>49.53475</v>
      </c>
      <c r="AQ11" s="37">
        <f t="shared" si="39"/>
        <v>49.53475</v>
      </c>
      <c r="AR11" s="37">
        <f t="shared" si="39"/>
        <v>49.53475</v>
      </c>
      <c r="AS11" s="37">
        <f t="shared" si="39"/>
        <v>49.53475</v>
      </c>
      <c r="AW11" s="33">
        <f t="shared" si="9"/>
        <v>297.4585</v>
      </c>
      <c r="AY11" s="34">
        <f t="shared" si="10"/>
        <v>1</v>
      </c>
    </row>
    <row r="12">
      <c r="A12" s="17">
        <f t="shared" si="11"/>
        <v>10</v>
      </c>
      <c r="B12" s="46">
        <v>-5.014</v>
      </c>
      <c r="C12" s="49">
        <v>-17.507</v>
      </c>
      <c r="J12" s="34">
        <f t="shared" ref="J12:M12" si="40">($B12*E$3+$C12*E$4)+E$8</f>
        <v>-16.64075</v>
      </c>
      <c r="K12" s="34">
        <f t="shared" si="40"/>
        <v>-16.64075</v>
      </c>
      <c r="L12" s="34">
        <f t="shared" si="40"/>
        <v>-16.64075</v>
      </c>
      <c r="M12" s="34">
        <f t="shared" si="40"/>
        <v>-16.64075</v>
      </c>
      <c r="O12" s="34">
        <f t="shared" ref="O12:R12" si="41">max(0,J12)</f>
        <v>0</v>
      </c>
      <c r="P12" s="34">
        <f t="shared" si="41"/>
        <v>0</v>
      </c>
      <c r="Q12" s="34">
        <f t="shared" si="41"/>
        <v>0</v>
      </c>
      <c r="R12" s="34">
        <f t="shared" si="41"/>
        <v>0</v>
      </c>
      <c r="AC12" s="34">
        <f t="shared" ref="AC12:AJ12" si="42">($O12*T$3+$P12*T$4+$Q12*T$5+$R12*T$6)+T$9</f>
        <v>0.25</v>
      </c>
      <c r="AD12" s="34">
        <f t="shared" si="42"/>
        <v>0.25</v>
      </c>
      <c r="AE12" s="34">
        <f t="shared" si="42"/>
        <v>0.25</v>
      </c>
      <c r="AF12" s="34">
        <f t="shared" si="42"/>
        <v>0.25</v>
      </c>
      <c r="AG12" s="34">
        <f t="shared" si="42"/>
        <v>0.25</v>
      </c>
      <c r="AH12" s="34">
        <f t="shared" si="42"/>
        <v>0.25</v>
      </c>
      <c r="AI12" s="34">
        <f t="shared" si="42"/>
        <v>0.25</v>
      </c>
      <c r="AJ12" s="34">
        <f t="shared" si="42"/>
        <v>0.25</v>
      </c>
      <c r="AL12" s="37">
        <f t="shared" ref="AL12:AS12" si="43">max(0,AC12)</f>
        <v>0.25</v>
      </c>
      <c r="AM12" s="37">
        <f t="shared" si="43"/>
        <v>0.25</v>
      </c>
      <c r="AN12" s="37">
        <f t="shared" si="43"/>
        <v>0.25</v>
      </c>
      <c r="AO12" s="37">
        <f t="shared" si="43"/>
        <v>0.25</v>
      </c>
      <c r="AP12" s="37">
        <f t="shared" si="43"/>
        <v>0.25</v>
      </c>
      <c r="AQ12" s="37">
        <f t="shared" si="43"/>
        <v>0.25</v>
      </c>
      <c r="AR12" s="37">
        <f t="shared" si="43"/>
        <v>0.25</v>
      </c>
      <c r="AS12" s="37">
        <f t="shared" si="43"/>
        <v>0.25</v>
      </c>
      <c r="AU12" s="11" t="s">
        <v>15</v>
      </c>
      <c r="AW12" s="33">
        <f t="shared" si="9"/>
        <v>1.75</v>
      </c>
      <c r="AY12" s="34">
        <f t="shared" si="10"/>
        <v>0.851952802</v>
      </c>
    </row>
    <row r="13">
      <c r="A13" s="17">
        <f t="shared" si="11"/>
        <v>11</v>
      </c>
      <c r="B13" s="46">
        <v>0.491</v>
      </c>
      <c r="C13" s="52">
        <v>1.897</v>
      </c>
      <c r="J13" s="34">
        <f t="shared" ref="J13:M13" si="44">($B13*E$3+$C13*E$4)+E$8</f>
        <v>2.041</v>
      </c>
      <c r="K13" s="34">
        <f t="shared" si="44"/>
        <v>2.041</v>
      </c>
      <c r="L13" s="34">
        <f t="shared" si="44"/>
        <v>2.041</v>
      </c>
      <c r="M13" s="34">
        <f t="shared" si="44"/>
        <v>2.041</v>
      </c>
      <c r="O13" s="34">
        <f t="shared" ref="O13:R13" si="45">max(0,J13)</f>
        <v>2.041</v>
      </c>
      <c r="P13" s="34">
        <f t="shared" si="45"/>
        <v>2.041</v>
      </c>
      <c r="Q13" s="34">
        <f t="shared" si="45"/>
        <v>2.041</v>
      </c>
      <c r="R13" s="34">
        <f t="shared" si="45"/>
        <v>2.041</v>
      </c>
      <c r="AC13" s="34">
        <f t="shared" ref="AC13:AJ13" si="46">($O13*T$3+$P13*T$4+$Q13*T$5+$R13*T$6)+T$9</f>
        <v>6.373</v>
      </c>
      <c r="AD13" s="34">
        <f t="shared" si="46"/>
        <v>6.373</v>
      </c>
      <c r="AE13" s="34">
        <f t="shared" si="46"/>
        <v>6.373</v>
      </c>
      <c r="AF13" s="34">
        <f t="shared" si="46"/>
        <v>6.373</v>
      </c>
      <c r="AG13" s="34">
        <f t="shared" si="46"/>
        <v>6.373</v>
      </c>
      <c r="AH13" s="34">
        <f t="shared" si="46"/>
        <v>6.373</v>
      </c>
      <c r="AI13" s="34">
        <f t="shared" si="46"/>
        <v>6.373</v>
      </c>
      <c r="AJ13" s="34">
        <f t="shared" si="46"/>
        <v>6.373</v>
      </c>
      <c r="AL13" s="37">
        <f t="shared" ref="AL13:AS13" si="47">max(0,AC13)</f>
        <v>6.373</v>
      </c>
      <c r="AM13" s="37">
        <f t="shared" si="47"/>
        <v>6.373</v>
      </c>
      <c r="AN13" s="37">
        <f t="shared" si="47"/>
        <v>6.373</v>
      </c>
      <c r="AO13" s="37">
        <f t="shared" si="47"/>
        <v>6.373</v>
      </c>
      <c r="AP13" s="37">
        <f t="shared" si="47"/>
        <v>6.373</v>
      </c>
      <c r="AQ13" s="37">
        <f t="shared" si="47"/>
        <v>6.373</v>
      </c>
      <c r="AR13" s="37">
        <f t="shared" si="47"/>
        <v>6.373</v>
      </c>
      <c r="AS13" s="37">
        <f t="shared" si="47"/>
        <v>6.373</v>
      </c>
      <c r="AU13" s="1">
        <v>0.25</v>
      </c>
      <c r="AW13" s="33">
        <f t="shared" si="9"/>
        <v>38.488</v>
      </c>
      <c r="AY13" s="34">
        <f t="shared" si="10"/>
        <v>1</v>
      </c>
    </row>
    <row r="14">
      <c r="A14" s="17">
        <f t="shared" si="11"/>
        <v>12</v>
      </c>
      <c r="B14" s="52">
        <v>-0.54</v>
      </c>
      <c r="C14" s="52">
        <v>1.12</v>
      </c>
      <c r="J14" s="34">
        <f t="shared" ref="J14:M14" si="48">($B14*E$3+$C14*E$4)+E$8</f>
        <v>0.685</v>
      </c>
      <c r="K14" s="34">
        <f t="shared" si="48"/>
        <v>0.685</v>
      </c>
      <c r="L14" s="34">
        <f t="shared" si="48"/>
        <v>0.685</v>
      </c>
      <c r="M14" s="34">
        <f t="shared" si="48"/>
        <v>0.685</v>
      </c>
      <c r="O14" s="34">
        <f t="shared" ref="O14:R14" si="49">max(0,J14)</f>
        <v>0.685</v>
      </c>
      <c r="P14" s="34">
        <f t="shared" si="49"/>
        <v>0.685</v>
      </c>
      <c r="Q14" s="34">
        <f t="shared" si="49"/>
        <v>0.685</v>
      </c>
      <c r="R14" s="34">
        <f t="shared" si="49"/>
        <v>0.685</v>
      </c>
      <c r="AC14" s="34">
        <f t="shared" ref="AC14:AJ14" si="50">($O14*T$3+$P14*T$4+$Q14*T$5+$R14*T$6)+T$9</f>
        <v>2.305</v>
      </c>
      <c r="AD14" s="34">
        <f t="shared" si="50"/>
        <v>2.305</v>
      </c>
      <c r="AE14" s="34">
        <f t="shared" si="50"/>
        <v>2.305</v>
      </c>
      <c r="AF14" s="34">
        <f t="shared" si="50"/>
        <v>2.305</v>
      </c>
      <c r="AG14" s="34">
        <f t="shared" si="50"/>
        <v>2.305</v>
      </c>
      <c r="AH14" s="34">
        <f t="shared" si="50"/>
        <v>2.305</v>
      </c>
      <c r="AI14" s="34">
        <f t="shared" si="50"/>
        <v>2.305</v>
      </c>
      <c r="AJ14" s="34">
        <f t="shared" si="50"/>
        <v>2.305</v>
      </c>
      <c r="AL14" s="37">
        <f t="shared" ref="AL14:AS14" si="51">max(0,AC14)</f>
        <v>2.305</v>
      </c>
      <c r="AM14" s="37">
        <f t="shared" si="51"/>
        <v>2.305</v>
      </c>
      <c r="AN14" s="37">
        <f t="shared" si="51"/>
        <v>2.305</v>
      </c>
      <c r="AO14" s="37">
        <f t="shared" si="51"/>
        <v>2.305</v>
      </c>
      <c r="AP14" s="37">
        <f t="shared" si="51"/>
        <v>2.305</v>
      </c>
      <c r="AQ14" s="37">
        <f t="shared" si="51"/>
        <v>2.305</v>
      </c>
      <c r="AR14" s="37">
        <f t="shared" si="51"/>
        <v>2.305</v>
      </c>
      <c r="AS14" s="37">
        <f t="shared" si="51"/>
        <v>2.305</v>
      </c>
      <c r="AW14" s="33">
        <f t="shared" si="9"/>
        <v>14.08</v>
      </c>
      <c r="AY14" s="34">
        <f t="shared" si="10"/>
        <v>0.9999992324</v>
      </c>
    </row>
    <row r="15">
      <c r="A15" s="17">
        <f t="shared" si="11"/>
        <v>13</v>
      </c>
      <c r="B15" s="52">
        <v>-2.032</v>
      </c>
      <c r="C15" s="52">
        <v>1.092</v>
      </c>
      <c r="J15" s="34">
        <f t="shared" ref="J15:M15" si="52">($B15*E$3+$C15*E$4)+E$8</f>
        <v>-0.455</v>
      </c>
      <c r="K15" s="34">
        <f t="shared" si="52"/>
        <v>-0.455</v>
      </c>
      <c r="L15" s="34">
        <f t="shared" si="52"/>
        <v>-0.455</v>
      </c>
      <c r="M15" s="34">
        <f t="shared" si="52"/>
        <v>-0.455</v>
      </c>
      <c r="O15" s="34">
        <f t="shared" ref="O15:R15" si="53">max(0,J15)</f>
        <v>0</v>
      </c>
      <c r="P15" s="34">
        <f t="shared" si="53"/>
        <v>0</v>
      </c>
      <c r="Q15" s="34">
        <f t="shared" si="53"/>
        <v>0</v>
      </c>
      <c r="R15" s="34">
        <f t="shared" si="53"/>
        <v>0</v>
      </c>
      <c r="AC15" s="34">
        <f t="shared" ref="AC15:AJ15" si="54">($O15*T$3+$P15*T$4+$Q15*T$5+$R15*T$6)+T$9</f>
        <v>0.25</v>
      </c>
      <c r="AD15" s="34">
        <f t="shared" si="54"/>
        <v>0.25</v>
      </c>
      <c r="AE15" s="34">
        <f t="shared" si="54"/>
        <v>0.25</v>
      </c>
      <c r="AF15" s="34">
        <f t="shared" si="54"/>
        <v>0.25</v>
      </c>
      <c r="AG15" s="34">
        <f t="shared" si="54"/>
        <v>0.25</v>
      </c>
      <c r="AH15" s="34">
        <f t="shared" si="54"/>
        <v>0.25</v>
      </c>
      <c r="AI15" s="34">
        <f t="shared" si="54"/>
        <v>0.25</v>
      </c>
      <c r="AJ15" s="34">
        <f t="shared" si="54"/>
        <v>0.25</v>
      </c>
      <c r="AL15" s="37">
        <f t="shared" ref="AL15:AS15" si="55">max(0,AC15)</f>
        <v>0.25</v>
      </c>
      <c r="AM15" s="37">
        <f t="shared" si="55"/>
        <v>0.25</v>
      </c>
      <c r="AN15" s="37">
        <f t="shared" si="55"/>
        <v>0.25</v>
      </c>
      <c r="AO15" s="37">
        <f t="shared" si="55"/>
        <v>0.25</v>
      </c>
      <c r="AP15" s="37">
        <f t="shared" si="55"/>
        <v>0.25</v>
      </c>
      <c r="AQ15" s="37">
        <f t="shared" si="55"/>
        <v>0.25</v>
      </c>
      <c r="AR15" s="37">
        <f t="shared" si="55"/>
        <v>0.25</v>
      </c>
      <c r="AS15" s="37">
        <f t="shared" si="55"/>
        <v>0.25</v>
      </c>
      <c r="AU15" s="54" t="s">
        <v>16</v>
      </c>
      <c r="AW15" s="33">
        <f t="shared" si="9"/>
        <v>1.75</v>
      </c>
      <c r="AY15" s="34">
        <f t="shared" si="10"/>
        <v>0.851952802</v>
      </c>
    </row>
    <row r="16">
      <c r="A16" s="17">
        <f t="shared" si="11"/>
        <v>14</v>
      </c>
      <c r="B16" s="52">
        <v>-1.476</v>
      </c>
      <c r="C16" s="52">
        <v>-1.606</v>
      </c>
      <c r="J16" s="34">
        <f t="shared" ref="J16:M16" si="56">($B16*E$3+$C16*E$4)+E$8</f>
        <v>-2.0615</v>
      </c>
      <c r="K16" s="34">
        <f t="shared" si="56"/>
        <v>-2.0615</v>
      </c>
      <c r="L16" s="34">
        <f t="shared" si="56"/>
        <v>-2.0615</v>
      </c>
      <c r="M16" s="34">
        <f t="shared" si="56"/>
        <v>-2.0615</v>
      </c>
      <c r="O16" s="34">
        <f t="shared" ref="O16:R16" si="57">max(0,J16)</f>
        <v>0</v>
      </c>
      <c r="P16" s="34">
        <f t="shared" si="57"/>
        <v>0</v>
      </c>
      <c r="Q16" s="34">
        <f t="shared" si="57"/>
        <v>0</v>
      </c>
      <c r="R16" s="34">
        <f t="shared" si="57"/>
        <v>0</v>
      </c>
      <c r="AC16" s="34">
        <f t="shared" ref="AC16:AJ16" si="58">($O16*T$3+$P16*T$4+$Q16*T$5+$R16*T$6)+T$9</f>
        <v>0.25</v>
      </c>
      <c r="AD16" s="34">
        <f t="shared" si="58"/>
        <v>0.25</v>
      </c>
      <c r="AE16" s="34">
        <f t="shared" si="58"/>
        <v>0.25</v>
      </c>
      <c r="AF16" s="34">
        <f t="shared" si="58"/>
        <v>0.25</v>
      </c>
      <c r="AG16" s="34">
        <f t="shared" si="58"/>
        <v>0.25</v>
      </c>
      <c r="AH16" s="34">
        <f t="shared" si="58"/>
        <v>0.25</v>
      </c>
      <c r="AI16" s="34">
        <f t="shared" si="58"/>
        <v>0.25</v>
      </c>
      <c r="AJ16" s="34">
        <f t="shared" si="58"/>
        <v>0.25</v>
      </c>
      <c r="AL16" s="37">
        <f t="shared" ref="AL16:AS16" si="59">max(0,AC16)</f>
        <v>0.25</v>
      </c>
      <c r="AM16" s="37">
        <f t="shared" si="59"/>
        <v>0.25</v>
      </c>
      <c r="AN16" s="37">
        <f t="shared" si="59"/>
        <v>0.25</v>
      </c>
      <c r="AO16" s="37">
        <f t="shared" si="59"/>
        <v>0.25</v>
      </c>
      <c r="AP16" s="37">
        <f t="shared" si="59"/>
        <v>0.25</v>
      </c>
      <c r="AQ16" s="37">
        <f t="shared" si="59"/>
        <v>0.25</v>
      </c>
      <c r="AR16" s="37">
        <f t="shared" si="59"/>
        <v>0.25</v>
      </c>
      <c r="AS16" s="37">
        <f t="shared" si="59"/>
        <v>0.25</v>
      </c>
      <c r="AW16" s="33">
        <f t="shared" si="9"/>
        <v>1.75</v>
      </c>
      <c r="AY16" s="34">
        <f t="shared" si="10"/>
        <v>0.851952802</v>
      </c>
    </row>
    <row r="17">
      <c r="A17" s="17">
        <f t="shared" si="11"/>
        <v>15</v>
      </c>
      <c r="B17" s="52">
        <v>-0.084</v>
      </c>
      <c r="C17" s="52">
        <v>3.386</v>
      </c>
      <c r="J17" s="34">
        <f t="shared" ref="J17:M17" si="60">($B17*E$3+$C17*E$4)+E$8</f>
        <v>2.7265</v>
      </c>
      <c r="K17" s="34">
        <f t="shared" si="60"/>
        <v>2.7265</v>
      </c>
      <c r="L17" s="34">
        <f t="shared" si="60"/>
        <v>2.7265</v>
      </c>
      <c r="M17" s="34">
        <f t="shared" si="60"/>
        <v>2.7265</v>
      </c>
      <c r="O17" s="34">
        <f t="shared" ref="O17:R17" si="61">max(0,J17)</f>
        <v>2.7265</v>
      </c>
      <c r="P17" s="34">
        <f t="shared" si="61"/>
        <v>2.7265</v>
      </c>
      <c r="Q17" s="34">
        <f t="shared" si="61"/>
        <v>2.7265</v>
      </c>
      <c r="R17" s="34">
        <f t="shared" si="61"/>
        <v>2.7265</v>
      </c>
      <c r="AC17" s="34">
        <f t="shared" ref="AC17:AJ17" si="62">($O17*T$3+$P17*T$4+$Q17*T$5+$R17*T$6)+T$9</f>
        <v>8.4295</v>
      </c>
      <c r="AD17" s="34">
        <f t="shared" si="62"/>
        <v>8.4295</v>
      </c>
      <c r="AE17" s="34">
        <f t="shared" si="62"/>
        <v>8.4295</v>
      </c>
      <c r="AF17" s="34">
        <f t="shared" si="62"/>
        <v>8.4295</v>
      </c>
      <c r="AG17" s="34">
        <f t="shared" si="62"/>
        <v>8.4295</v>
      </c>
      <c r="AH17" s="34">
        <f t="shared" si="62"/>
        <v>8.4295</v>
      </c>
      <c r="AI17" s="34">
        <f t="shared" si="62"/>
        <v>8.4295</v>
      </c>
      <c r="AJ17" s="34">
        <f t="shared" si="62"/>
        <v>8.4295</v>
      </c>
      <c r="AL17" s="37">
        <f t="shared" ref="AL17:AS17" si="63">max(0,AC17)</f>
        <v>8.4295</v>
      </c>
      <c r="AM17" s="37">
        <f t="shared" si="63"/>
        <v>8.4295</v>
      </c>
      <c r="AN17" s="37">
        <f t="shared" si="63"/>
        <v>8.4295</v>
      </c>
      <c r="AO17" s="37">
        <f t="shared" si="63"/>
        <v>8.4295</v>
      </c>
      <c r="AP17" s="37">
        <f t="shared" si="63"/>
        <v>8.4295</v>
      </c>
      <c r="AQ17" s="37">
        <f t="shared" si="63"/>
        <v>8.4295</v>
      </c>
      <c r="AR17" s="37">
        <f t="shared" si="63"/>
        <v>8.4295</v>
      </c>
      <c r="AS17" s="37">
        <f t="shared" si="63"/>
        <v>8.4295</v>
      </c>
      <c r="AW17" s="33">
        <f t="shared" si="9"/>
        <v>50.827</v>
      </c>
      <c r="AY17" s="34">
        <f t="shared" si="10"/>
        <v>1</v>
      </c>
    </row>
    <row r="18">
      <c r="A18" s="17">
        <f t="shared" si="11"/>
        <v>16</v>
      </c>
      <c r="B18" s="52">
        <v>-1.618</v>
      </c>
      <c r="C18" s="52">
        <v>1.16</v>
      </c>
      <c r="J18" s="34">
        <f t="shared" ref="J18:M18" si="64">($B18*E$3+$C18*E$4)+E$8</f>
        <v>-0.0935</v>
      </c>
      <c r="K18" s="34">
        <f t="shared" si="64"/>
        <v>-0.0935</v>
      </c>
      <c r="L18" s="34">
        <f t="shared" si="64"/>
        <v>-0.0935</v>
      </c>
      <c r="M18" s="34">
        <f t="shared" si="64"/>
        <v>-0.0935</v>
      </c>
      <c r="O18" s="34">
        <f t="shared" ref="O18:R18" si="65">max(0,J18)</f>
        <v>0</v>
      </c>
      <c r="P18" s="34">
        <f t="shared" si="65"/>
        <v>0</v>
      </c>
      <c r="Q18" s="34">
        <f t="shared" si="65"/>
        <v>0</v>
      </c>
      <c r="R18" s="34">
        <f t="shared" si="65"/>
        <v>0</v>
      </c>
      <c r="AC18" s="34">
        <f t="shared" ref="AC18:AJ18" si="66">($O18*T$3+$P18*T$4+$Q18*T$5+$R18*T$6)+T$9</f>
        <v>0.25</v>
      </c>
      <c r="AD18" s="34">
        <f t="shared" si="66"/>
        <v>0.25</v>
      </c>
      <c r="AE18" s="34">
        <f t="shared" si="66"/>
        <v>0.25</v>
      </c>
      <c r="AF18" s="34">
        <f t="shared" si="66"/>
        <v>0.25</v>
      </c>
      <c r="AG18" s="34">
        <f t="shared" si="66"/>
        <v>0.25</v>
      </c>
      <c r="AH18" s="34">
        <f t="shared" si="66"/>
        <v>0.25</v>
      </c>
      <c r="AI18" s="34">
        <f t="shared" si="66"/>
        <v>0.25</v>
      </c>
      <c r="AJ18" s="34">
        <f t="shared" si="66"/>
        <v>0.25</v>
      </c>
      <c r="AL18" s="37">
        <f t="shared" ref="AL18:AS18" si="67">max(0,AC18)</f>
        <v>0.25</v>
      </c>
      <c r="AM18" s="37">
        <f t="shared" si="67"/>
        <v>0.25</v>
      </c>
      <c r="AN18" s="37">
        <f t="shared" si="67"/>
        <v>0.25</v>
      </c>
      <c r="AO18" s="37">
        <f t="shared" si="67"/>
        <v>0.25</v>
      </c>
      <c r="AP18" s="37">
        <f t="shared" si="67"/>
        <v>0.25</v>
      </c>
      <c r="AQ18" s="37">
        <f t="shared" si="67"/>
        <v>0.25</v>
      </c>
      <c r="AR18" s="37">
        <f t="shared" si="67"/>
        <v>0.25</v>
      </c>
      <c r="AS18" s="37">
        <f t="shared" si="67"/>
        <v>0.25</v>
      </c>
      <c r="AW18" s="33">
        <f t="shared" si="9"/>
        <v>1.75</v>
      </c>
      <c r="AY18" s="34">
        <f t="shared" si="10"/>
        <v>0.851952802</v>
      </c>
    </row>
    <row r="19">
      <c r="A19" s="17">
        <f t="shared" si="11"/>
        <v>17</v>
      </c>
      <c r="B19" s="52">
        <v>2.238</v>
      </c>
      <c r="C19" s="52">
        <v>-1.671</v>
      </c>
      <c r="J19" s="34">
        <f t="shared" ref="J19:M19" si="68">($B19*E$3+$C19*E$4)+E$8</f>
        <v>0.67525</v>
      </c>
      <c r="K19" s="34">
        <f t="shared" si="68"/>
        <v>0.67525</v>
      </c>
      <c r="L19" s="34">
        <f t="shared" si="68"/>
        <v>0.67525</v>
      </c>
      <c r="M19" s="34">
        <f t="shared" si="68"/>
        <v>0.67525</v>
      </c>
      <c r="O19" s="34">
        <f t="shared" ref="O19:R19" si="69">max(0,J19)</f>
        <v>0.67525</v>
      </c>
      <c r="P19" s="34">
        <f t="shared" si="69"/>
        <v>0.67525</v>
      </c>
      <c r="Q19" s="34">
        <f t="shared" si="69"/>
        <v>0.67525</v>
      </c>
      <c r="R19" s="34">
        <f t="shared" si="69"/>
        <v>0.67525</v>
      </c>
      <c r="AC19" s="34">
        <f t="shared" ref="AC19:AJ19" si="70">($O19*T$3+$P19*T$4+$Q19*T$5+$R19*T$6)+T$9</f>
        <v>2.27575</v>
      </c>
      <c r="AD19" s="34">
        <f t="shared" si="70"/>
        <v>2.27575</v>
      </c>
      <c r="AE19" s="34">
        <f t="shared" si="70"/>
        <v>2.27575</v>
      </c>
      <c r="AF19" s="34">
        <f t="shared" si="70"/>
        <v>2.27575</v>
      </c>
      <c r="AG19" s="34">
        <f t="shared" si="70"/>
        <v>2.27575</v>
      </c>
      <c r="AH19" s="34">
        <f t="shared" si="70"/>
        <v>2.27575</v>
      </c>
      <c r="AI19" s="34">
        <f t="shared" si="70"/>
        <v>2.27575</v>
      </c>
      <c r="AJ19" s="34">
        <f t="shared" si="70"/>
        <v>2.27575</v>
      </c>
      <c r="AL19" s="37">
        <f t="shared" ref="AL19:AS19" si="71">max(0,AC19)</f>
        <v>2.27575</v>
      </c>
      <c r="AM19" s="37">
        <f t="shared" si="71"/>
        <v>2.27575</v>
      </c>
      <c r="AN19" s="37">
        <f t="shared" si="71"/>
        <v>2.27575</v>
      </c>
      <c r="AO19" s="37">
        <f t="shared" si="71"/>
        <v>2.27575</v>
      </c>
      <c r="AP19" s="37">
        <f t="shared" si="71"/>
        <v>2.27575</v>
      </c>
      <c r="AQ19" s="37">
        <f t="shared" si="71"/>
        <v>2.27575</v>
      </c>
      <c r="AR19" s="37">
        <f t="shared" si="71"/>
        <v>2.27575</v>
      </c>
      <c r="AS19" s="37">
        <f t="shared" si="71"/>
        <v>2.27575</v>
      </c>
      <c r="AW19" s="33">
        <f t="shared" si="9"/>
        <v>13.9045</v>
      </c>
      <c r="AY19" s="34">
        <f t="shared" si="10"/>
        <v>0.9999990851</v>
      </c>
    </row>
    <row r="20">
      <c r="A20" s="17">
        <f t="shared" si="11"/>
        <v>18</v>
      </c>
      <c r="B20" s="52">
        <v>-2.102</v>
      </c>
      <c r="C20" s="52">
        <v>1.924</v>
      </c>
      <c r="J20" s="34">
        <f t="shared" ref="J20:M20" si="72">($B20*E$3+$C20*E$4)+E$8</f>
        <v>0.1165</v>
      </c>
      <c r="K20" s="34">
        <f t="shared" si="72"/>
        <v>0.1165</v>
      </c>
      <c r="L20" s="34">
        <f t="shared" si="72"/>
        <v>0.1165</v>
      </c>
      <c r="M20" s="34">
        <f t="shared" si="72"/>
        <v>0.1165</v>
      </c>
      <c r="O20" s="34">
        <f t="shared" ref="O20:R20" si="73">max(0,J20)</f>
        <v>0.1165</v>
      </c>
      <c r="P20" s="34">
        <f t="shared" si="73"/>
        <v>0.1165</v>
      </c>
      <c r="Q20" s="34">
        <f t="shared" si="73"/>
        <v>0.1165</v>
      </c>
      <c r="R20" s="34">
        <f t="shared" si="73"/>
        <v>0.1165</v>
      </c>
      <c r="AC20" s="34">
        <f t="shared" ref="AC20:AJ20" si="74">($O20*T$3+$P20*T$4+$Q20*T$5+$R20*T$6)+T$9</f>
        <v>0.5995</v>
      </c>
      <c r="AD20" s="34">
        <f t="shared" si="74"/>
        <v>0.5995</v>
      </c>
      <c r="AE20" s="34">
        <f t="shared" si="74"/>
        <v>0.5995</v>
      </c>
      <c r="AF20" s="34">
        <f t="shared" si="74"/>
        <v>0.5995</v>
      </c>
      <c r="AG20" s="34">
        <f t="shared" si="74"/>
        <v>0.5995</v>
      </c>
      <c r="AH20" s="34">
        <f t="shared" si="74"/>
        <v>0.5995</v>
      </c>
      <c r="AI20" s="34">
        <f t="shared" si="74"/>
        <v>0.5995</v>
      </c>
      <c r="AJ20" s="34">
        <f t="shared" si="74"/>
        <v>0.5995</v>
      </c>
      <c r="AL20" s="37">
        <f t="shared" ref="AL20:AS20" si="75">max(0,AC20)</f>
        <v>0.5995</v>
      </c>
      <c r="AM20" s="37">
        <f t="shared" si="75"/>
        <v>0.5995</v>
      </c>
      <c r="AN20" s="37">
        <f t="shared" si="75"/>
        <v>0.5995</v>
      </c>
      <c r="AO20" s="37">
        <f t="shared" si="75"/>
        <v>0.5995</v>
      </c>
      <c r="AP20" s="37">
        <f t="shared" si="75"/>
        <v>0.5995</v>
      </c>
      <c r="AQ20" s="37">
        <f t="shared" si="75"/>
        <v>0.5995</v>
      </c>
      <c r="AR20" s="37">
        <f t="shared" si="75"/>
        <v>0.5995</v>
      </c>
      <c r="AS20" s="37">
        <f t="shared" si="75"/>
        <v>0.5995</v>
      </c>
      <c r="AW20" s="33">
        <f t="shared" si="9"/>
        <v>3.847</v>
      </c>
      <c r="AY20" s="34">
        <f t="shared" si="10"/>
        <v>0.9791023608</v>
      </c>
    </row>
    <row r="21">
      <c r="A21" s="17">
        <f t="shared" si="11"/>
        <v>19</v>
      </c>
      <c r="B21" s="52">
        <v>-1.059</v>
      </c>
      <c r="C21" s="52">
        <v>4.297</v>
      </c>
      <c r="J21" s="34">
        <f t="shared" ref="J21:M21" si="76">($B21*E$3+$C21*E$4)+E$8</f>
        <v>2.6785</v>
      </c>
      <c r="K21" s="34">
        <f t="shared" si="76"/>
        <v>2.6785</v>
      </c>
      <c r="L21" s="34">
        <f t="shared" si="76"/>
        <v>2.6785</v>
      </c>
      <c r="M21" s="34">
        <f t="shared" si="76"/>
        <v>2.6785</v>
      </c>
      <c r="O21" s="34">
        <f t="shared" ref="O21:R21" si="77">max(0,J21)</f>
        <v>2.6785</v>
      </c>
      <c r="P21" s="34">
        <f t="shared" si="77"/>
        <v>2.6785</v>
      </c>
      <c r="Q21" s="34">
        <f t="shared" si="77"/>
        <v>2.6785</v>
      </c>
      <c r="R21" s="34">
        <f t="shared" si="77"/>
        <v>2.6785</v>
      </c>
      <c r="AC21" s="34">
        <f t="shared" ref="AC21:AJ21" si="78">($O21*T$3+$P21*T$4+$Q21*T$5+$R21*T$6)+T$9</f>
        <v>8.2855</v>
      </c>
      <c r="AD21" s="34">
        <f t="shared" si="78"/>
        <v>8.2855</v>
      </c>
      <c r="AE21" s="34">
        <f t="shared" si="78"/>
        <v>8.2855</v>
      </c>
      <c r="AF21" s="34">
        <f t="shared" si="78"/>
        <v>8.2855</v>
      </c>
      <c r="AG21" s="34">
        <f t="shared" si="78"/>
        <v>8.2855</v>
      </c>
      <c r="AH21" s="34">
        <f t="shared" si="78"/>
        <v>8.2855</v>
      </c>
      <c r="AI21" s="34">
        <f t="shared" si="78"/>
        <v>8.2855</v>
      </c>
      <c r="AJ21" s="34">
        <f t="shared" si="78"/>
        <v>8.2855</v>
      </c>
      <c r="AL21" s="37">
        <f t="shared" ref="AL21:AS21" si="79">max(0,AC21)</f>
        <v>8.2855</v>
      </c>
      <c r="AM21" s="37">
        <f t="shared" si="79"/>
        <v>8.2855</v>
      </c>
      <c r="AN21" s="37">
        <f t="shared" si="79"/>
        <v>8.2855</v>
      </c>
      <c r="AO21" s="37">
        <f t="shared" si="79"/>
        <v>8.2855</v>
      </c>
      <c r="AP21" s="37">
        <f t="shared" si="79"/>
        <v>8.2855</v>
      </c>
      <c r="AQ21" s="37">
        <f t="shared" si="79"/>
        <v>8.2855</v>
      </c>
      <c r="AR21" s="37">
        <f t="shared" si="79"/>
        <v>8.2855</v>
      </c>
      <c r="AS21" s="37">
        <f t="shared" si="79"/>
        <v>8.2855</v>
      </c>
      <c r="AW21" s="33">
        <f t="shared" si="9"/>
        <v>49.963</v>
      </c>
      <c r="AY21" s="34">
        <f t="shared" si="10"/>
        <v>1</v>
      </c>
    </row>
    <row r="22">
      <c r="A22" s="17">
        <f t="shared" si="11"/>
        <v>20</v>
      </c>
      <c r="B22" s="52">
        <v>2.642</v>
      </c>
      <c r="C22" s="52">
        <v>2.981</v>
      </c>
      <c r="J22" s="34">
        <f t="shared" ref="J22:M22" si="80">($B22*E$3+$C22*E$4)+E$8</f>
        <v>4.46725</v>
      </c>
      <c r="K22" s="34">
        <f t="shared" si="80"/>
        <v>4.46725</v>
      </c>
      <c r="L22" s="34">
        <f t="shared" si="80"/>
        <v>4.46725</v>
      </c>
      <c r="M22" s="34">
        <f t="shared" si="80"/>
        <v>4.46725</v>
      </c>
      <c r="O22" s="34">
        <f t="shared" ref="O22:R22" si="81">max(0,J22)</f>
        <v>4.46725</v>
      </c>
      <c r="P22" s="34">
        <f t="shared" si="81"/>
        <v>4.46725</v>
      </c>
      <c r="Q22" s="34">
        <f t="shared" si="81"/>
        <v>4.46725</v>
      </c>
      <c r="R22" s="34">
        <f t="shared" si="81"/>
        <v>4.46725</v>
      </c>
      <c r="AC22" s="34">
        <f t="shared" ref="AC22:AJ22" si="82">($O22*T$3+$P22*T$4+$Q22*T$5+$R22*T$6)+T$9</f>
        <v>13.65175</v>
      </c>
      <c r="AD22" s="34">
        <f t="shared" si="82"/>
        <v>13.65175</v>
      </c>
      <c r="AE22" s="34">
        <f t="shared" si="82"/>
        <v>13.65175</v>
      </c>
      <c r="AF22" s="34">
        <f t="shared" si="82"/>
        <v>13.65175</v>
      </c>
      <c r="AG22" s="34">
        <f t="shared" si="82"/>
        <v>13.65175</v>
      </c>
      <c r="AH22" s="34">
        <f t="shared" si="82"/>
        <v>13.65175</v>
      </c>
      <c r="AI22" s="34">
        <f t="shared" si="82"/>
        <v>13.65175</v>
      </c>
      <c r="AJ22" s="34">
        <f t="shared" si="82"/>
        <v>13.65175</v>
      </c>
      <c r="AL22" s="37">
        <f t="shared" ref="AL22:AS22" si="83">max(0,AC22)</f>
        <v>13.65175</v>
      </c>
      <c r="AM22" s="37">
        <f t="shared" si="83"/>
        <v>13.65175</v>
      </c>
      <c r="AN22" s="37">
        <f t="shared" si="83"/>
        <v>13.65175</v>
      </c>
      <c r="AO22" s="37">
        <f t="shared" si="83"/>
        <v>13.65175</v>
      </c>
      <c r="AP22" s="37">
        <f t="shared" si="83"/>
        <v>13.65175</v>
      </c>
      <c r="AQ22" s="37">
        <f t="shared" si="83"/>
        <v>13.65175</v>
      </c>
      <c r="AR22" s="37">
        <f t="shared" si="83"/>
        <v>13.65175</v>
      </c>
      <c r="AS22" s="37">
        <f t="shared" si="83"/>
        <v>13.65175</v>
      </c>
      <c r="AW22" s="33">
        <f t="shared" si="9"/>
        <v>82.1605</v>
      </c>
      <c r="AY22" s="34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18</v>
      </c>
    </row>
    <row r="25">
      <c r="B25" s="7" t="s">
        <v>19</v>
      </c>
      <c r="D25" s="16"/>
      <c r="F25" s="7" t="s">
        <v>20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21</v>
      </c>
      <c r="D26" s="7" t="s">
        <v>22</v>
      </c>
      <c r="E26" s="7" t="s">
        <v>23</v>
      </c>
      <c r="F26" s="7" t="s">
        <v>24</v>
      </c>
      <c r="M26" s="7" t="s">
        <v>5</v>
      </c>
      <c r="O26" s="9" t="s">
        <v>25</v>
      </c>
      <c r="Q26" s="7" t="s">
        <v>26</v>
      </c>
      <c r="AI26" s="61"/>
      <c r="AR26" s="61"/>
      <c r="AW26" s="7" t="s">
        <v>27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4">
        <f t="shared" ref="D27:D46" si="85">B27-C27</f>
        <v>1</v>
      </c>
      <c r="E27" s="34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0">
        <v>8.035749999999997</v>
      </c>
      <c r="R27" s="30">
        <v>8.035749999999997</v>
      </c>
      <c r="S27" s="30">
        <v>8.035749999999997</v>
      </c>
      <c r="T27" s="30">
        <v>8.035749999999997</v>
      </c>
      <c r="U27" s="30">
        <v>8.035749999999997</v>
      </c>
      <c r="V27" s="30">
        <v>8.035749999999997</v>
      </c>
      <c r="W27" s="30">
        <v>8.035749999999997</v>
      </c>
      <c r="X27" s="30">
        <v>8.035749999999997</v>
      </c>
      <c r="Z27" s="30">
        <v>8.035749999999997</v>
      </c>
      <c r="AA27" s="37">
        <v>0.25</v>
      </c>
      <c r="AB27" s="37">
        <v>4.5729999999999995</v>
      </c>
      <c r="AC27" s="37">
        <v>25.10425</v>
      </c>
      <c r="AD27" s="37">
        <v>0.25</v>
      </c>
      <c r="AE27" s="37">
        <v>60.37975</v>
      </c>
      <c r="AF27" s="37">
        <v>0.25</v>
      </c>
      <c r="AG27" s="37">
        <v>23.76775</v>
      </c>
      <c r="AH27" s="37">
        <v>49.53475</v>
      </c>
      <c r="AI27" s="37">
        <v>0.25</v>
      </c>
      <c r="AJ27" s="37">
        <v>6.372999999999999</v>
      </c>
      <c r="AK27" s="37">
        <v>2.305</v>
      </c>
      <c r="AL27" s="37">
        <v>0.25</v>
      </c>
      <c r="AM27" s="37">
        <v>0.25</v>
      </c>
      <c r="AN27" s="37">
        <v>8.4295</v>
      </c>
      <c r="AO27" s="37">
        <v>0.25</v>
      </c>
      <c r="AP27" s="37">
        <v>2.2757500000000004</v>
      </c>
      <c r="AQ27" s="37">
        <v>0.5995000000000008</v>
      </c>
      <c r="AR27" s="37">
        <v>8.285499999999999</v>
      </c>
      <c r="AS27" s="37">
        <v>13.65175</v>
      </c>
      <c r="AU27" s="34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34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4">
        <f t="shared" ref="A28:A46" si="91">A27+1</f>
        <v>2</v>
      </c>
      <c r="B28" s="16">
        <f t="shared" si="84"/>
        <v>0.851952802</v>
      </c>
      <c r="C28" s="7">
        <v>0.0</v>
      </c>
      <c r="D28" s="34">
        <f t="shared" si="85"/>
        <v>0.851952802</v>
      </c>
      <c r="E28" s="34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37">
        <v>0.25</v>
      </c>
      <c r="R28" s="37">
        <v>0.25</v>
      </c>
      <c r="S28" s="37">
        <v>0.25</v>
      </c>
      <c r="T28" s="37">
        <v>0.25</v>
      </c>
      <c r="U28" s="37">
        <v>0.25</v>
      </c>
      <c r="V28" s="37">
        <v>0.25</v>
      </c>
      <c r="W28" s="37">
        <v>0.25</v>
      </c>
      <c r="X28" s="37">
        <v>0.25</v>
      </c>
      <c r="Z28" s="30">
        <v>8.035749999999997</v>
      </c>
      <c r="AA28" s="37">
        <v>0.25</v>
      </c>
      <c r="AB28" s="37">
        <v>4.5729999999999995</v>
      </c>
      <c r="AC28" s="37">
        <v>25.10425</v>
      </c>
      <c r="AD28" s="37">
        <v>0.25</v>
      </c>
      <c r="AE28" s="37">
        <v>60.37975</v>
      </c>
      <c r="AF28" s="37">
        <v>0.25</v>
      </c>
      <c r="AG28" s="37">
        <v>23.76775</v>
      </c>
      <c r="AH28" s="37">
        <v>49.53475</v>
      </c>
      <c r="AI28" s="37">
        <v>0.25</v>
      </c>
      <c r="AJ28" s="37">
        <v>6.372999999999999</v>
      </c>
      <c r="AK28" s="37">
        <v>2.305</v>
      </c>
      <c r="AL28" s="37">
        <v>0.25</v>
      </c>
      <c r="AM28" s="37">
        <v>0.25</v>
      </c>
      <c r="AN28" s="37">
        <v>8.4295</v>
      </c>
      <c r="AO28" s="37">
        <v>0.25</v>
      </c>
      <c r="AP28" s="37">
        <v>2.2757500000000004</v>
      </c>
      <c r="AQ28" s="37">
        <v>0.5995000000000008</v>
      </c>
      <c r="AR28" s="37">
        <v>8.285499999999999</v>
      </c>
      <c r="AS28" s="37">
        <v>13.65175</v>
      </c>
      <c r="AU28" s="34">
        <f t="shared" si="89"/>
        <v>0.09319500077</v>
      </c>
      <c r="AX28" s="34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4">
        <f t="shared" si="91"/>
        <v>3</v>
      </c>
      <c r="B29" s="16">
        <f t="shared" si="84"/>
        <v>1</v>
      </c>
      <c r="C29" s="7">
        <v>0.0</v>
      </c>
      <c r="D29" s="34">
        <f t="shared" si="85"/>
        <v>1</v>
      </c>
      <c r="E29" s="34">
        <f t="shared" si="86"/>
        <v>0</v>
      </c>
      <c r="F29" s="15">
        <f t="shared" si="87"/>
        <v>0</v>
      </c>
      <c r="H29" s="7" t="s">
        <v>28</v>
      </c>
      <c r="I29" s="7" t="s">
        <v>29</v>
      </c>
      <c r="M29" s="4">
        <v>0.75</v>
      </c>
      <c r="O29" s="10">
        <f t="shared" si="88"/>
        <v>0.74906805</v>
      </c>
      <c r="Q29" s="37">
        <v>4.5729999999999995</v>
      </c>
      <c r="R29" s="37">
        <v>4.5729999999999995</v>
      </c>
      <c r="S29" s="37">
        <v>4.5729999999999995</v>
      </c>
      <c r="T29" s="37">
        <v>4.5729999999999995</v>
      </c>
      <c r="U29" s="37">
        <v>4.5729999999999995</v>
      </c>
      <c r="V29" s="37">
        <v>4.5729999999999995</v>
      </c>
      <c r="W29" s="37">
        <v>4.5729999999999995</v>
      </c>
      <c r="X29" s="37">
        <v>4.5729999999999995</v>
      </c>
      <c r="Z29" s="30">
        <v>8.035749999999997</v>
      </c>
      <c r="AA29" s="37">
        <v>0.25</v>
      </c>
      <c r="AB29" s="37">
        <v>4.5729999999999995</v>
      </c>
      <c r="AC29" s="37">
        <v>25.10425</v>
      </c>
      <c r="AD29" s="37">
        <v>0.25</v>
      </c>
      <c r="AE29" s="37">
        <v>60.37975</v>
      </c>
      <c r="AF29" s="37">
        <v>0.25</v>
      </c>
      <c r="AG29" s="37">
        <v>23.76775</v>
      </c>
      <c r="AH29" s="37">
        <v>49.53475</v>
      </c>
      <c r="AI29" s="37">
        <v>0.25</v>
      </c>
      <c r="AJ29" s="37">
        <v>6.372999999999999</v>
      </c>
      <c r="AK29" s="37">
        <v>2.305</v>
      </c>
      <c r="AL29" s="37">
        <v>0.25</v>
      </c>
      <c r="AM29" s="37">
        <v>0.25</v>
      </c>
      <c r="AN29" s="37">
        <v>8.4295</v>
      </c>
      <c r="AO29" s="37">
        <v>0.25</v>
      </c>
      <c r="AP29" s="37">
        <v>2.2757500000000004</v>
      </c>
      <c r="AQ29" s="37">
        <v>0.5995000000000008</v>
      </c>
      <c r="AR29" s="37">
        <v>8.285499999999999</v>
      </c>
      <c r="AS29" s="37">
        <v>13.65175</v>
      </c>
      <c r="AU29" s="34">
        <f t="shared" si="89"/>
        <v>0.09319500077</v>
      </c>
      <c r="AX29" s="34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4">
        <f t="shared" si="91"/>
        <v>4</v>
      </c>
      <c r="B30" s="16">
        <f t="shared" si="84"/>
        <v>1</v>
      </c>
      <c r="C30" s="7">
        <v>0.0</v>
      </c>
      <c r="D30" s="34">
        <f t="shared" si="85"/>
        <v>1</v>
      </c>
      <c r="E30" s="34">
        <f t="shared" si="86"/>
        <v>0</v>
      </c>
      <c r="F30" s="15">
        <f t="shared" si="87"/>
        <v>0</v>
      </c>
      <c r="H30" s="63"/>
      <c r="I30" s="63"/>
      <c r="M30" s="4">
        <v>0.75</v>
      </c>
      <c r="O30" s="10">
        <f t="shared" si="88"/>
        <v>0.74906805</v>
      </c>
      <c r="Q30" s="37">
        <v>25.10425</v>
      </c>
      <c r="R30" s="37">
        <v>25.10425</v>
      </c>
      <c r="S30" s="37">
        <v>25.10425</v>
      </c>
      <c r="T30" s="37">
        <v>25.10425</v>
      </c>
      <c r="U30" s="37">
        <v>25.10425</v>
      </c>
      <c r="V30" s="37">
        <v>25.10425</v>
      </c>
      <c r="W30" s="37">
        <v>25.10425</v>
      </c>
      <c r="X30" s="37">
        <v>25.10425</v>
      </c>
      <c r="Z30" s="30">
        <v>8.035749999999997</v>
      </c>
      <c r="AA30" s="37">
        <v>0.25</v>
      </c>
      <c r="AB30" s="37">
        <v>4.5729999999999995</v>
      </c>
      <c r="AC30" s="37">
        <v>25.10425</v>
      </c>
      <c r="AD30" s="37">
        <v>0.25</v>
      </c>
      <c r="AE30" s="37">
        <v>60.37975</v>
      </c>
      <c r="AF30" s="37">
        <v>0.25</v>
      </c>
      <c r="AG30" s="37">
        <v>23.76775</v>
      </c>
      <c r="AH30" s="37">
        <v>49.53475</v>
      </c>
      <c r="AI30" s="37">
        <v>0.25</v>
      </c>
      <c r="AJ30" s="37">
        <v>6.372999999999999</v>
      </c>
      <c r="AK30" s="37">
        <v>2.305</v>
      </c>
      <c r="AL30" s="37">
        <v>0.25</v>
      </c>
      <c r="AM30" s="37">
        <v>0.25</v>
      </c>
      <c r="AN30" s="37">
        <v>8.4295</v>
      </c>
      <c r="AO30" s="37">
        <v>0.25</v>
      </c>
      <c r="AP30" s="37">
        <v>2.2757500000000004</v>
      </c>
      <c r="AQ30" s="37">
        <v>0.5995000000000008</v>
      </c>
      <c r="AR30" s="37">
        <v>8.285499999999999</v>
      </c>
      <c r="AS30" s="37">
        <v>13.65175</v>
      </c>
      <c r="AU30" s="34">
        <f t="shared" si="89"/>
        <v>0.09319500077</v>
      </c>
      <c r="AX30" s="34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4">
        <f t="shared" si="91"/>
        <v>5</v>
      </c>
      <c r="B31" s="16">
        <f t="shared" si="84"/>
        <v>0.851952802</v>
      </c>
      <c r="C31" s="7">
        <v>0.0</v>
      </c>
      <c r="D31" s="34">
        <f t="shared" si="85"/>
        <v>0.851952802</v>
      </c>
      <c r="E31" s="34">
        <f t="shared" si="86"/>
        <v>0.1261292252</v>
      </c>
      <c r="F31" s="15">
        <f t="shared" si="87"/>
        <v>0.1074561468</v>
      </c>
      <c r="H31" s="11" t="s">
        <v>15</v>
      </c>
      <c r="I31" s="63"/>
      <c r="M31" s="4">
        <v>0.75</v>
      </c>
      <c r="O31" s="10">
        <f t="shared" si="88"/>
        <v>0.74906805</v>
      </c>
      <c r="Q31" s="37">
        <v>0.25</v>
      </c>
      <c r="R31" s="37">
        <v>0.25</v>
      </c>
      <c r="S31" s="37">
        <v>0.25</v>
      </c>
      <c r="T31" s="37">
        <v>0.25</v>
      </c>
      <c r="U31" s="37">
        <v>0.25</v>
      </c>
      <c r="V31" s="37">
        <v>0.25</v>
      </c>
      <c r="W31" s="37">
        <v>0.25</v>
      </c>
      <c r="X31" s="37">
        <v>0.25</v>
      </c>
      <c r="Z31" s="30">
        <v>8.035749999999997</v>
      </c>
      <c r="AA31" s="37">
        <v>0.25</v>
      </c>
      <c r="AB31" s="37">
        <v>4.5729999999999995</v>
      </c>
      <c r="AC31" s="37">
        <v>25.10425</v>
      </c>
      <c r="AD31" s="37">
        <v>0.25</v>
      </c>
      <c r="AE31" s="37">
        <v>60.37975</v>
      </c>
      <c r="AF31" s="37">
        <v>0.25</v>
      </c>
      <c r="AG31" s="37">
        <v>23.76775</v>
      </c>
      <c r="AH31" s="37">
        <v>49.53475</v>
      </c>
      <c r="AI31" s="37">
        <v>0.25</v>
      </c>
      <c r="AJ31" s="37">
        <v>6.372999999999999</v>
      </c>
      <c r="AK31" s="37">
        <v>2.305</v>
      </c>
      <c r="AL31" s="37">
        <v>0.25</v>
      </c>
      <c r="AM31" s="37">
        <v>0.25</v>
      </c>
      <c r="AN31" s="37">
        <v>8.4295</v>
      </c>
      <c r="AO31" s="37">
        <v>0.25</v>
      </c>
      <c r="AP31" s="37">
        <v>2.2757500000000004</v>
      </c>
      <c r="AQ31" s="37">
        <v>0.5995000000000008</v>
      </c>
      <c r="AR31" s="37">
        <v>8.285499999999999</v>
      </c>
      <c r="AS31" s="37">
        <v>13.65175</v>
      </c>
      <c r="AU31" s="34">
        <f t="shared" si="89"/>
        <v>0.09319500077</v>
      </c>
      <c r="AX31" s="34">
        <f t="shared" si="90"/>
        <v>0.0009319500077</v>
      </c>
    </row>
    <row r="32">
      <c r="A32" s="34">
        <f t="shared" si="91"/>
        <v>6</v>
      </c>
      <c r="B32" s="16">
        <f t="shared" si="84"/>
        <v>1</v>
      </c>
      <c r="C32" s="7">
        <v>0.0</v>
      </c>
      <c r="D32" s="34">
        <f t="shared" si="85"/>
        <v>1</v>
      </c>
      <c r="E32" s="34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37">
        <v>60.37975</v>
      </c>
      <c r="R32" s="37">
        <v>60.37975</v>
      </c>
      <c r="S32" s="37">
        <v>60.37975</v>
      </c>
      <c r="T32" s="37">
        <v>60.37975</v>
      </c>
      <c r="U32" s="37">
        <v>60.37975</v>
      </c>
      <c r="V32" s="37">
        <v>60.37975</v>
      </c>
      <c r="W32" s="37">
        <v>60.37975</v>
      </c>
      <c r="X32" s="37">
        <v>60.37975</v>
      </c>
      <c r="Z32" s="30">
        <v>8.035749999999997</v>
      </c>
      <c r="AA32" s="37">
        <v>0.25</v>
      </c>
      <c r="AB32" s="37">
        <v>4.5729999999999995</v>
      </c>
      <c r="AC32" s="37">
        <v>25.10425</v>
      </c>
      <c r="AD32" s="37">
        <v>0.25</v>
      </c>
      <c r="AE32" s="37">
        <v>60.37975</v>
      </c>
      <c r="AF32" s="37">
        <v>0.25</v>
      </c>
      <c r="AG32" s="37">
        <v>23.76775</v>
      </c>
      <c r="AH32" s="37">
        <v>49.53475</v>
      </c>
      <c r="AI32" s="37">
        <v>0.25</v>
      </c>
      <c r="AJ32" s="37">
        <v>6.372999999999999</v>
      </c>
      <c r="AK32" s="37">
        <v>2.305</v>
      </c>
      <c r="AL32" s="37">
        <v>0.25</v>
      </c>
      <c r="AM32" s="37">
        <v>0.25</v>
      </c>
      <c r="AN32" s="37">
        <v>8.4295</v>
      </c>
      <c r="AO32" s="37">
        <v>0.25</v>
      </c>
      <c r="AP32" s="37">
        <v>2.2757500000000004</v>
      </c>
      <c r="AQ32" s="37">
        <v>0.5995000000000008</v>
      </c>
      <c r="AR32" s="37">
        <v>8.285499999999999</v>
      </c>
      <c r="AS32" s="37">
        <v>13.65175</v>
      </c>
      <c r="AU32" s="34">
        <f t="shared" si="89"/>
        <v>0.09319500077</v>
      </c>
      <c r="AX32" s="34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4">
        <f t="shared" si="91"/>
        <v>7</v>
      </c>
      <c r="B33" s="16">
        <f t="shared" si="84"/>
        <v>0.851952802</v>
      </c>
      <c r="C33" s="7">
        <v>0.0</v>
      </c>
      <c r="D33" s="34">
        <f t="shared" si="85"/>
        <v>0.851952802</v>
      </c>
      <c r="E33" s="34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37">
        <v>0.25</v>
      </c>
      <c r="R33" s="37">
        <v>0.25</v>
      </c>
      <c r="S33" s="37">
        <v>0.25</v>
      </c>
      <c r="T33" s="37">
        <v>0.25</v>
      </c>
      <c r="U33" s="37">
        <v>0.25</v>
      </c>
      <c r="V33" s="37">
        <v>0.25</v>
      </c>
      <c r="W33" s="37">
        <v>0.25</v>
      </c>
      <c r="X33" s="37">
        <v>0.25</v>
      </c>
      <c r="Z33" s="30">
        <v>8.035749999999997</v>
      </c>
      <c r="AA33" s="37">
        <v>0.25</v>
      </c>
      <c r="AB33" s="37">
        <v>4.5729999999999995</v>
      </c>
      <c r="AC33" s="37">
        <v>25.10425</v>
      </c>
      <c r="AD33" s="37">
        <v>0.25</v>
      </c>
      <c r="AE33" s="37">
        <v>60.37975</v>
      </c>
      <c r="AF33" s="37">
        <v>0.25</v>
      </c>
      <c r="AG33" s="37">
        <v>23.76775</v>
      </c>
      <c r="AH33" s="37">
        <v>49.53475</v>
      </c>
      <c r="AI33" s="37">
        <v>0.25</v>
      </c>
      <c r="AJ33" s="37">
        <v>6.372999999999999</v>
      </c>
      <c r="AK33" s="37">
        <v>2.305</v>
      </c>
      <c r="AL33" s="37">
        <v>0.25</v>
      </c>
      <c r="AM33" s="37">
        <v>0.25</v>
      </c>
      <c r="AN33" s="37">
        <v>8.4295</v>
      </c>
      <c r="AO33" s="37">
        <v>0.25</v>
      </c>
      <c r="AP33" s="37">
        <v>2.2757500000000004</v>
      </c>
      <c r="AQ33" s="37">
        <v>0.5995000000000008</v>
      </c>
      <c r="AR33" s="37">
        <v>8.285499999999999</v>
      </c>
      <c r="AS33" s="37">
        <v>13.65175</v>
      </c>
      <c r="AU33" s="34">
        <f t="shared" si="89"/>
        <v>0.09319500077</v>
      </c>
      <c r="AX33" s="34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4">
        <f t="shared" si="91"/>
        <v>8</v>
      </c>
      <c r="B34" s="16">
        <f t="shared" si="84"/>
        <v>1</v>
      </c>
      <c r="C34" s="7">
        <v>0.0</v>
      </c>
      <c r="D34" s="34">
        <f t="shared" si="85"/>
        <v>1</v>
      </c>
      <c r="E34" s="34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37">
        <v>23.76775</v>
      </c>
      <c r="R34" s="37">
        <v>23.76775</v>
      </c>
      <c r="S34" s="37">
        <v>23.76775</v>
      </c>
      <c r="T34" s="37">
        <v>23.76775</v>
      </c>
      <c r="U34" s="37">
        <v>23.76775</v>
      </c>
      <c r="V34" s="37">
        <v>23.76775</v>
      </c>
      <c r="W34" s="37">
        <v>23.76775</v>
      </c>
      <c r="X34" s="37">
        <v>23.76775</v>
      </c>
      <c r="Z34" s="30">
        <v>8.035749999999997</v>
      </c>
      <c r="AA34" s="37">
        <v>0.25</v>
      </c>
      <c r="AB34" s="37">
        <v>4.5729999999999995</v>
      </c>
      <c r="AC34" s="37">
        <v>25.10425</v>
      </c>
      <c r="AD34" s="37">
        <v>0.25</v>
      </c>
      <c r="AE34" s="37">
        <v>60.37975</v>
      </c>
      <c r="AF34" s="37">
        <v>0.25</v>
      </c>
      <c r="AG34" s="37">
        <v>23.76775</v>
      </c>
      <c r="AH34" s="37">
        <v>49.53475</v>
      </c>
      <c r="AI34" s="37">
        <v>0.25</v>
      </c>
      <c r="AJ34" s="37">
        <v>6.372999999999999</v>
      </c>
      <c r="AK34" s="37">
        <v>2.305</v>
      </c>
      <c r="AL34" s="37">
        <v>0.25</v>
      </c>
      <c r="AM34" s="37">
        <v>0.25</v>
      </c>
      <c r="AN34" s="37">
        <v>8.4295</v>
      </c>
      <c r="AO34" s="37">
        <v>0.25</v>
      </c>
      <c r="AP34" s="37">
        <v>2.2757500000000004</v>
      </c>
      <c r="AQ34" s="37">
        <v>0.5995000000000008</v>
      </c>
      <c r="AR34" s="37">
        <v>8.285499999999999</v>
      </c>
      <c r="AS34" s="37">
        <v>13.65175</v>
      </c>
      <c r="AU34" s="34">
        <f t="shared" si="89"/>
        <v>0.09319500077</v>
      </c>
      <c r="AX34" s="34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4">
        <f t="shared" si="91"/>
        <v>9</v>
      </c>
      <c r="B35" s="16">
        <f t="shared" si="84"/>
        <v>1</v>
      </c>
      <c r="C35" s="7">
        <v>0.0</v>
      </c>
      <c r="D35" s="34">
        <f t="shared" si="85"/>
        <v>1</v>
      </c>
      <c r="E35" s="34">
        <f t="shared" si="86"/>
        <v>0</v>
      </c>
      <c r="F35" s="15">
        <f t="shared" si="87"/>
        <v>0</v>
      </c>
      <c r="H35" s="34">
        <f>average(F27:F46)</f>
        <v>0.01866888835</v>
      </c>
      <c r="J35" s="7">
        <v>0.01</v>
      </c>
      <c r="L35" s="34">
        <f>H35*J35</f>
        <v>0.0001866888835</v>
      </c>
      <c r="Q35" s="37">
        <v>49.53475</v>
      </c>
      <c r="R35" s="37">
        <v>49.53475</v>
      </c>
      <c r="S35" s="37">
        <v>49.53475</v>
      </c>
      <c r="T35" s="37">
        <v>49.53475</v>
      </c>
      <c r="U35" s="37">
        <v>49.53475</v>
      </c>
      <c r="V35" s="37">
        <v>49.53475</v>
      </c>
      <c r="W35" s="37">
        <v>49.53475</v>
      </c>
      <c r="X35" s="37">
        <v>49.53475</v>
      </c>
    </row>
    <row r="36">
      <c r="A36" s="34">
        <f t="shared" si="91"/>
        <v>10</v>
      </c>
      <c r="B36" s="16">
        <f t="shared" si="84"/>
        <v>0.851952802</v>
      </c>
      <c r="C36" s="7">
        <v>0.0</v>
      </c>
      <c r="D36" s="34">
        <f t="shared" si="85"/>
        <v>0.851952802</v>
      </c>
      <c r="E36" s="34">
        <f t="shared" si="86"/>
        <v>0.1261292252</v>
      </c>
      <c r="F36" s="15">
        <f t="shared" si="87"/>
        <v>0.1074561468</v>
      </c>
      <c r="Q36" s="37">
        <v>0.25</v>
      </c>
      <c r="R36" s="37">
        <v>0.25</v>
      </c>
      <c r="S36" s="37">
        <v>0.25</v>
      </c>
      <c r="T36" s="37">
        <v>0.25</v>
      </c>
      <c r="U36" s="37">
        <v>0.25</v>
      </c>
      <c r="V36" s="37">
        <v>0.25</v>
      </c>
      <c r="W36" s="37">
        <v>0.25</v>
      </c>
      <c r="X36" s="37">
        <v>0.25</v>
      </c>
    </row>
    <row r="37">
      <c r="A37" s="34">
        <f t="shared" si="91"/>
        <v>11</v>
      </c>
      <c r="B37" s="16">
        <f t="shared" si="84"/>
        <v>1</v>
      </c>
      <c r="C37" s="7">
        <v>1.0</v>
      </c>
      <c r="D37" s="34">
        <f t="shared" si="85"/>
        <v>0</v>
      </c>
      <c r="E37" s="34">
        <f t="shared" si="86"/>
        <v>0</v>
      </c>
      <c r="F37" s="15">
        <f t="shared" si="87"/>
        <v>0</v>
      </c>
      <c r="Q37" s="37">
        <v>6.372999999999999</v>
      </c>
      <c r="R37" s="37">
        <v>6.372999999999999</v>
      </c>
      <c r="S37" s="37">
        <v>6.372999999999999</v>
      </c>
      <c r="T37" s="37">
        <v>6.372999999999999</v>
      </c>
      <c r="U37" s="37">
        <v>6.372999999999999</v>
      </c>
      <c r="V37" s="37">
        <v>6.372999999999999</v>
      </c>
      <c r="W37" s="37">
        <v>6.372999999999999</v>
      </c>
      <c r="X37" s="37">
        <v>6.372999999999999</v>
      </c>
      <c r="AA37" s="14" t="s">
        <v>14</v>
      </c>
    </row>
    <row r="38">
      <c r="A38" s="34">
        <f t="shared" si="91"/>
        <v>12</v>
      </c>
      <c r="B38" s="16">
        <f t="shared" si="84"/>
        <v>0.9999992324</v>
      </c>
      <c r="C38" s="7">
        <v>1.0</v>
      </c>
      <c r="D38" s="34">
        <f t="shared" si="85"/>
        <v>-0.0000007675971639</v>
      </c>
      <c r="E38" s="34">
        <f t="shared" si="86"/>
        <v>0.0000007675965747</v>
      </c>
      <c r="F38" s="15">
        <f t="shared" si="87"/>
        <v>0</v>
      </c>
      <c r="H38" s="9" t="s">
        <v>30</v>
      </c>
      <c r="Q38" s="37">
        <v>2.305</v>
      </c>
      <c r="R38" s="37">
        <v>2.305</v>
      </c>
      <c r="S38" s="37">
        <v>2.305</v>
      </c>
      <c r="T38" s="37">
        <v>2.305</v>
      </c>
      <c r="U38" s="37">
        <v>2.305</v>
      </c>
      <c r="V38" s="37">
        <v>2.305</v>
      </c>
      <c r="W38" s="37">
        <v>2.305</v>
      </c>
      <c r="X38" s="37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4">
        <f t="shared" si="91"/>
        <v>13</v>
      </c>
      <c r="B39" s="16">
        <f t="shared" si="84"/>
        <v>0.851952802</v>
      </c>
      <c r="C39" s="7">
        <v>1.0</v>
      </c>
      <c r="D39" s="34">
        <f t="shared" si="85"/>
        <v>-0.148047198</v>
      </c>
      <c r="E39" s="34">
        <f t="shared" si="86"/>
        <v>0.1261292252</v>
      </c>
      <c r="F39" s="15">
        <f t="shared" si="87"/>
        <v>-0.01867307838</v>
      </c>
      <c r="H39" s="10">
        <f>H32-L35</f>
        <v>0.2498133111</v>
      </c>
      <c r="Q39" s="37">
        <v>0.25</v>
      </c>
      <c r="R39" s="37">
        <v>0.25</v>
      </c>
      <c r="S39" s="37">
        <v>0.25</v>
      </c>
      <c r="T39" s="37">
        <v>0.25</v>
      </c>
      <c r="U39" s="37">
        <v>0.25</v>
      </c>
      <c r="V39" s="37">
        <v>0.25</v>
      </c>
      <c r="W39" s="37">
        <v>0.25</v>
      </c>
      <c r="X39" s="37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4">
        <f t="shared" si="91"/>
        <v>14</v>
      </c>
      <c r="B40" s="16">
        <f t="shared" si="84"/>
        <v>0.851952802</v>
      </c>
      <c r="C40" s="7">
        <v>1.0</v>
      </c>
      <c r="D40" s="34">
        <f t="shared" si="85"/>
        <v>-0.148047198</v>
      </c>
      <c r="E40" s="34">
        <f t="shared" si="86"/>
        <v>0.1261292252</v>
      </c>
      <c r="F40" s="15">
        <f t="shared" si="87"/>
        <v>-0.01867307838</v>
      </c>
      <c r="Q40" s="37">
        <v>0.25</v>
      </c>
      <c r="R40" s="37">
        <v>0.25</v>
      </c>
      <c r="S40" s="37">
        <v>0.25</v>
      </c>
      <c r="T40" s="37">
        <v>0.25</v>
      </c>
      <c r="U40" s="37">
        <v>0.25</v>
      </c>
      <c r="V40" s="37">
        <v>0.25</v>
      </c>
      <c r="W40" s="37">
        <v>0.25</v>
      </c>
      <c r="X40" s="37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4">
        <f t="shared" si="91"/>
        <v>15</v>
      </c>
      <c r="B41" s="16">
        <f t="shared" si="84"/>
        <v>1</v>
      </c>
      <c r="C41" s="7">
        <v>1.0</v>
      </c>
      <c r="D41" s="34">
        <f t="shared" si="85"/>
        <v>0</v>
      </c>
      <c r="E41" s="34">
        <f t="shared" si="86"/>
        <v>0</v>
      </c>
      <c r="F41" s="15">
        <f t="shared" si="87"/>
        <v>0</v>
      </c>
      <c r="Q41" s="37">
        <v>8.4295</v>
      </c>
      <c r="R41" s="37">
        <v>8.4295</v>
      </c>
      <c r="S41" s="37">
        <v>8.4295</v>
      </c>
      <c r="T41" s="37">
        <v>8.4295</v>
      </c>
      <c r="U41" s="37">
        <v>8.4295</v>
      </c>
      <c r="V41" s="37">
        <v>8.4295</v>
      </c>
      <c r="W41" s="37">
        <v>8.4295</v>
      </c>
      <c r="X41" s="37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4">
        <f t="shared" si="91"/>
        <v>16</v>
      </c>
      <c r="B42" s="16">
        <f t="shared" si="84"/>
        <v>0.851952802</v>
      </c>
      <c r="C42" s="7">
        <v>1.0</v>
      </c>
      <c r="D42" s="34">
        <f t="shared" si="85"/>
        <v>-0.148047198</v>
      </c>
      <c r="E42" s="34">
        <f t="shared" si="86"/>
        <v>0.1261292252</v>
      </c>
      <c r="F42" s="15">
        <f t="shared" si="87"/>
        <v>-0.01867307838</v>
      </c>
      <c r="Q42" s="37">
        <v>0.25</v>
      </c>
      <c r="R42" s="37">
        <v>0.25</v>
      </c>
      <c r="S42" s="37">
        <v>0.25</v>
      </c>
      <c r="T42" s="37">
        <v>0.25</v>
      </c>
      <c r="U42" s="37">
        <v>0.25</v>
      </c>
      <c r="V42" s="37">
        <v>0.25</v>
      </c>
      <c r="W42" s="37">
        <v>0.25</v>
      </c>
      <c r="X42" s="37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4">
        <f t="shared" si="91"/>
        <v>17</v>
      </c>
      <c r="B43" s="16">
        <f t="shared" si="84"/>
        <v>0.9999990851</v>
      </c>
      <c r="C43" s="7">
        <v>1.0</v>
      </c>
      <c r="D43" s="34">
        <f t="shared" si="85"/>
        <v>-0.0000009148543955</v>
      </c>
      <c r="E43" s="34">
        <f t="shared" si="86"/>
        <v>0.0000009148535585</v>
      </c>
      <c r="F43" s="15">
        <f t="shared" si="87"/>
        <v>0</v>
      </c>
      <c r="Q43" s="37">
        <v>2.2757500000000004</v>
      </c>
      <c r="R43" s="37">
        <v>2.2757500000000004</v>
      </c>
      <c r="S43" s="37">
        <v>2.2757500000000004</v>
      </c>
      <c r="T43" s="37">
        <v>2.2757500000000004</v>
      </c>
      <c r="U43" s="37">
        <v>2.2757500000000004</v>
      </c>
      <c r="V43" s="37">
        <v>2.2757500000000004</v>
      </c>
      <c r="W43" s="37">
        <v>2.2757500000000004</v>
      </c>
      <c r="X43" s="37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4">
        <f t="shared" si="91"/>
        <v>18</v>
      </c>
      <c r="B44" s="16">
        <f t="shared" si="84"/>
        <v>0.9791023608</v>
      </c>
      <c r="C44" s="7">
        <v>1.0</v>
      </c>
      <c r="D44" s="34">
        <f t="shared" si="85"/>
        <v>-0.02089763916</v>
      </c>
      <c r="E44" s="34">
        <f t="shared" si="86"/>
        <v>0.02046092783</v>
      </c>
      <c r="F44" s="15">
        <f t="shared" si="87"/>
        <v>-0.0004275850867</v>
      </c>
      <c r="H44" s="7" t="s">
        <v>31</v>
      </c>
      <c r="Q44" s="37">
        <v>0.5995000000000008</v>
      </c>
      <c r="R44" s="37">
        <v>0.5995000000000008</v>
      </c>
      <c r="S44" s="37">
        <v>0.5995000000000008</v>
      </c>
      <c r="T44" s="37">
        <v>0.5995000000000008</v>
      </c>
      <c r="U44" s="37">
        <v>0.5995000000000008</v>
      </c>
      <c r="V44" s="37">
        <v>0.5995000000000008</v>
      </c>
      <c r="W44" s="37">
        <v>0.5995000000000008</v>
      </c>
      <c r="X44" s="37">
        <v>0.5995000000000008</v>
      </c>
    </row>
    <row r="45">
      <c r="A45" s="34">
        <f t="shared" si="91"/>
        <v>19</v>
      </c>
      <c r="B45" s="16">
        <f t="shared" si="84"/>
        <v>1</v>
      </c>
      <c r="C45" s="7">
        <v>1.0</v>
      </c>
      <c r="D45" s="34">
        <f t="shared" si="85"/>
        <v>0</v>
      </c>
      <c r="E45" s="34">
        <f t="shared" si="86"/>
        <v>0</v>
      </c>
      <c r="F45" s="15">
        <f t="shared" si="87"/>
        <v>0</v>
      </c>
      <c r="Q45" s="37">
        <v>8.285499999999999</v>
      </c>
      <c r="R45" s="37">
        <v>8.285499999999999</v>
      </c>
      <c r="S45" s="37">
        <v>8.285499999999999</v>
      </c>
      <c r="T45" s="37">
        <v>8.285499999999999</v>
      </c>
      <c r="U45" s="37">
        <v>8.285499999999999</v>
      </c>
      <c r="V45" s="37">
        <v>8.285499999999999</v>
      </c>
      <c r="W45" s="37">
        <v>8.285499999999999</v>
      </c>
      <c r="X45" s="37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4">
        <f t="shared" si="91"/>
        <v>20</v>
      </c>
      <c r="B46" s="16">
        <f t="shared" si="84"/>
        <v>1</v>
      </c>
      <c r="C46" s="7">
        <v>1.0</v>
      </c>
      <c r="D46" s="34">
        <f t="shared" si="85"/>
        <v>0</v>
      </c>
      <c r="E46" s="34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37">
        <v>13.65175</v>
      </c>
      <c r="R46" s="37">
        <v>13.65175</v>
      </c>
      <c r="S46" s="37">
        <v>13.65175</v>
      </c>
      <c r="T46" s="37">
        <v>13.65175</v>
      </c>
      <c r="U46" s="37">
        <v>13.65175</v>
      </c>
      <c r="V46" s="37">
        <v>13.65175</v>
      </c>
      <c r="W46" s="37">
        <v>13.65175</v>
      </c>
      <c r="X46" s="37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31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24</v>
      </c>
      <c r="M50" s="7" t="s">
        <v>32</v>
      </c>
      <c r="V50" s="12" t="s">
        <v>8</v>
      </c>
      <c r="W50" s="13"/>
      <c r="AE50" s="7" t="s">
        <v>33</v>
      </c>
      <c r="AN50" s="7" t="s">
        <v>24</v>
      </c>
      <c r="AW50" s="10"/>
      <c r="AX50" s="10"/>
      <c r="AY50" s="10"/>
      <c r="AZ50" s="10"/>
      <c r="BA50" s="10"/>
      <c r="BB50" s="10"/>
      <c r="BC50" s="10"/>
      <c r="BD50" s="10"/>
      <c r="BF50" s="7" t="s">
        <v>34</v>
      </c>
      <c r="BO50" s="7" t="s">
        <v>8</v>
      </c>
      <c r="BT50" s="7" t="s">
        <v>35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5"/>
      <c r="M51" s="66">
        <f t="shared" ref="M51:T51" si="92">D$51*$B51</f>
        <v>0</v>
      </c>
      <c r="N51" s="66">
        <f t="shared" si="92"/>
        <v>0</v>
      </c>
      <c r="O51" s="66">
        <f t="shared" si="92"/>
        <v>0</v>
      </c>
      <c r="P51" s="66">
        <f t="shared" si="92"/>
        <v>0</v>
      </c>
      <c r="Q51" s="66">
        <f t="shared" si="92"/>
        <v>0</v>
      </c>
      <c r="R51" s="66">
        <f t="shared" si="92"/>
        <v>0</v>
      </c>
      <c r="S51" s="66">
        <f t="shared" si="92"/>
        <v>0</v>
      </c>
      <c r="T51" s="66">
        <f t="shared" si="92"/>
        <v>0</v>
      </c>
      <c r="U51" s="66"/>
      <c r="V51" s="30">
        <v>8.035749999999997</v>
      </c>
      <c r="W51" s="30">
        <v>8.035749999999997</v>
      </c>
      <c r="X51" s="30">
        <v>8.035749999999997</v>
      </c>
      <c r="Y51" s="30">
        <v>8.035749999999997</v>
      </c>
      <c r="Z51" s="30">
        <v>8.035749999999997</v>
      </c>
      <c r="AA51" s="30">
        <v>8.035749999999997</v>
      </c>
      <c r="AB51" s="30">
        <v>8.035749999999997</v>
      </c>
      <c r="AC51" s="30">
        <v>8.035749999999997</v>
      </c>
      <c r="AE51" s="34">
        <f t="shared" ref="AE51:AL51" si="93">if(V51&gt;0,1,0)</f>
        <v>1</v>
      </c>
      <c r="AF51" s="34">
        <f t="shared" si="93"/>
        <v>1</v>
      </c>
      <c r="AG51" s="34">
        <f t="shared" si="93"/>
        <v>1</v>
      </c>
      <c r="AH51" s="34">
        <f t="shared" si="93"/>
        <v>1</v>
      </c>
      <c r="AI51" s="34">
        <f t="shared" si="93"/>
        <v>1</v>
      </c>
      <c r="AJ51" s="34">
        <f t="shared" si="93"/>
        <v>1</v>
      </c>
      <c r="AK51" s="34">
        <f t="shared" si="93"/>
        <v>1</v>
      </c>
      <c r="AL51" s="34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4">
        <f t="shared" ref="BF51:BM51" si="95">average(AN51:AN70)</f>
        <v>0.01400166626</v>
      </c>
      <c r="BG51" s="34">
        <f t="shared" si="95"/>
        <v>0.01400166626</v>
      </c>
      <c r="BH51" s="34">
        <f t="shared" si="95"/>
        <v>0.01400166626</v>
      </c>
      <c r="BI51" s="34">
        <f t="shared" si="95"/>
        <v>0.01400166626</v>
      </c>
      <c r="BJ51" s="34">
        <f t="shared" si="95"/>
        <v>0.01400166626</v>
      </c>
      <c r="BK51" s="34">
        <f t="shared" si="95"/>
        <v>0.01400166626</v>
      </c>
      <c r="BL51" s="34">
        <f t="shared" si="95"/>
        <v>0.01400166626</v>
      </c>
      <c r="BM51" s="34">
        <f t="shared" si="95"/>
        <v>0.01400166626</v>
      </c>
      <c r="BN51" s="7" t="s">
        <v>14</v>
      </c>
      <c r="BO51" s="24">
        <v>2.595249999999999</v>
      </c>
      <c r="BP51" s="34">
        <v>2.595249999999999</v>
      </c>
      <c r="BQ51" s="34">
        <v>2.595249999999999</v>
      </c>
      <c r="BR51" s="34">
        <v>2.595249999999999</v>
      </c>
      <c r="BS51" s="7" t="s">
        <v>14</v>
      </c>
      <c r="BT51" s="24">
        <v>2.595249999999999</v>
      </c>
      <c r="BU51" s="24">
        <v>0.0</v>
      </c>
      <c r="BV51" s="24">
        <v>1.4409999999999998</v>
      </c>
      <c r="BW51" s="24">
        <v>8.28475</v>
      </c>
      <c r="BX51" s="34">
        <v>0.0</v>
      </c>
      <c r="BY51" s="34">
        <v>20.04325</v>
      </c>
      <c r="BZ51" s="34">
        <v>0.0</v>
      </c>
      <c r="CA51" s="34">
        <v>7.83925</v>
      </c>
      <c r="CB51" s="34">
        <v>16.428250000000002</v>
      </c>
      <c r="CC51" s="34">
        <v>0.0</v>
      </c>
      <c r="CD51" s="34">
        <v>2.041</v>
      </c>
      <c r="CE51" s="34">
        <v>0.685</v>
      </c>
      <c r="CF51" s="34">
        <v>0.0</v>
      </c>
      <c r="CG51" s="34">
        <v>0.0</v>
      </c>
      <c r="CH51" s="34">
        <v>2.7265</v>
      </c>
      <c r="CI51" s="34">
        <v>0.0</v>
      </c>
      <c r="CJ51" s="34">
        <v>0.6752500000000001</v>
      </c>
      <c r="CK51" s="34">
        <v>0.11650000000000027</v>
      </c>
      <c r="CL51" s="34">
        <v>2.6784999999999997</v>
      </c>
      <c r="CM51" s="34">
        <v>4.46725</v>
      </c>
    </row>
    <row r="52">
      <c r="A52" s="34">
        <f t="shared" ref="A52:A70" si="99">A51+1</f>
        <v>2</v>
      </c>
      <c r="B52" s="15">
        <v>0.10745614680786286</v>
      </c>
      <c r="L52" s="65"/>
      <c r="M52" s="66">
        <f t="shared" ref="M52:T52" si="96">D$51*$B52</f>
        <v>0.08059211011</v>
      </c>
      <c r="N52" s="66">
        <f t="shared" si="96"/>
        <v>0.08059211011</v>
      </c>
      <c r="O52" s="66">
        <f t="shared" si="96"/>
        <v>0.08059211011</v>
      </c>
      <c r="P52" s="66">
        <f t="shared" si="96"/>
        <v>0.08059211011</v>
      </c>
      <c r="Q52" s="66">
        <f t="shared" si="96"/>
        <v>0.08059211011</v>
      </c>
      <c r="R52" s="66">
        <f t="shared" si="96"/>
        <v>0.08059211011</v>
      </c>
      <c r="S52" s="66">
        <f t="shared" si="96"/>
        <v>0.08059211011</v>
      </c>
      <c r="T52" s="66">
        <f t="shared" si="96"/>
        <v>0.08059211011</v>
      </c>
      <c r="U52" s="66"/>
      <c r="V52" s="37">
        <v>0.25</v>
      </c>
      <c r="W52" s="37">
        <v>0.25</v>
      </c>
      <c r="X52" s="37">
        <v>0.25</v>
      </c>
      <c r="Y52" s="37">
        <v>0.25</v>
      </c>
      <c r="Z52" s="37">
        <v>0.25</v>
      </c>
      <c r="AA52" s="37">
        <v>0.25</v>
      </c>
      <c r="AB52" s="37">
        <v>0.25</v>
      </c>
      <c r="AC52" s="37">
        <v>0.25</v>
      </c>
      <c r="AE52" s="34">
        <f t="shared" ref="AE52:AL52" si="97">if(V52&gt;0,1,0)</f>
        <v>1</v>
      </c>
      <c r="AF52" s="34">
        <f t="shared" si="97"/>
        <v>1</v>
      </c>
      <c r="AG52" s="34">
        <f t="shared" si="97"/>
        <v>1</v>
      </c>
      <c r="AH52" s="34">
        <f t="shared" si="97"/>
        <v>1</v>
      </c>
      <c r="AI52" s="34">
        <f t="shared" si="97"/>
        <v>1</v>
      </c>
      <c r="AJ52" s="34">
        <f t="shared" si="97"/>
        <v>1</v>
      </c>
      <c r="AK52" s="34">
        <f t="shared" si="97"/>
        <v>1</v>
      </c>
      <c r="AL52" s="34">
        <f t="shared" si="97"/>
        <v>1</v>
      </c>
      <c r="AM52" s="67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4">
        <v>0.0</v>
      </c>
      <c r="BP52" s="34">
        <v>0.0</v>
      </c>
      <c r="BQ52" s="34">
        <v>0.0</v>
      </c>
      <c r="BR52" s="34">
        <v>0.0</v>
      </c>
      <c r="BS52" s="7" t="s">
        <v>14</v>
      </c>
      <c r="BT52" s="34">
        <v>2.595249999999999</v>
      </c>
      <c r="BU52" s="34">
        <v>0.0</v>
      </c>
      <c r="BV52" s="34">
        <v>1.4409999999999998</v>
      </c>
      <c r="BW52" s="34">
        <v>8.28475</v>
      </c>
      <c r="BX52" s="34">
        <v>0.0</v>
      </c>
      <c r="BY52" s="34">
        <v>20.04325</v>
      </c>
      <c r="BZ52" s="34">
        <v>0.0</v>
      </c>
      <c r="CA52" s="34">
        <v>7.83925</v>
      </c>
      <c r="CB52" s="34">
        <v>16.428250000000002</v>
      </c>
      <c r="CC52" s="34">
        <v>0.0</v>
      </c>
      <c r="CD52" s="34">
        <v>2.041</v>
      </c>
      <c r="CE52" s="34">
        <v>0.685</v>
      </c>
      <c r="CF52" s="34">
        <v>0.0</v>
      </c>
      <c r="CG52" s="34">
        <v>0.0</v>
      </c>
      <c r="CH52" s="34">
        <v>2.7265</v>
      </c>
      <c r="CI52" s="34">
        <v>0.0</v>
      </c>
      <c r="CJ52" s="34">
        <v>0.6752500000000001</v>
      </c>
      <c r="CK52" s="34">
        <v>0.11650000000000027</v>
      </c>
      <c r="CL52" s="34">
        <v>2.6784999999999997</v>
      </c>
      <c r="CM52" s="34">
        <v>4.46725</v>
      </c>
    </row>
    <row r="53">
      <c r="A53" s="34">
        <f t="shared" si="99"/>
        <v>3</v>
      </c>
      <c r="B53" s="15">
        <v>9.445777493492988E-13</v>
      </c>
      <c r="J53" s="46"/>
      <c r="L53" s="65"/>
      <c r="M53" s="66">
        <f t="shared" ref="M53:T53" si="100">D$51*$B53</f>
        <v>0</v>
      </c>
      <c r="N53" s="66">
        <f t="shared" si="100"/>
        <v>0</v>
      </c>
      <c r="O53" s="66">
        <f t="shared" si="100"/>
        <v>0</v>
      </c>
      <c r="P53" s="66">
        <f t="shared" si="100"/>
        <v>0</v>
      </c>
      <c r="Q53" s="66">
        <f t="shared" si="100"/>
        <v>0</v>
      </c>
      <c r="R53" s="66">
        <f t="shared" si="100"/>
        <v>0</v>
      </c>
      <c r="S53" s="66">
        <f t="shared" si="100"/>
        <v>0</v>
      </c>
      <c r="T53" s="66">
        <f t="shared" si="100"/>
        <v>0</v>
      </c>
      <c r="U53" s="66"/>
      <c r="V53" s="37">
        <v>4.5729999999999995</v>
      </c>
      <c r="W53" s="37">
        <v>4.5729999999999995</v>
      </c>
      <c r="X53" s="37">
        <v>4.5729999999999995</v>
      </c>
      <c r="Y53" s="37">
        <v>4.5729999999999995</v>
      </c>
      <c r="Z53" s="37">
        <v>4.5729999999999995</v>
      </c>
      <c r="AA53" s="37">
        <v>4.5729999999999995</v>
      </c>
      <c r="AB53" s="37">
        <v>4.5729999999999995</v>
      </c>
      <c r="AC53" s="37">
        <v>4.5729999999999995</v>
      </c>
      <c r="AE53" s="34">
        <f t="shared" ref="AE53:AL53" si="101">if(V53&gt;0,1,0)</f>
        <v>1</v>
      </c>
      <c r="AF53" s="34">
        <f t="shared" si="101"/>
        <v>1</v>
      </c>
      <c r="AG53" s="34">
        <f t="shared" si="101"/>
        <v>1</v>
      </c>
      <c r="AH53" s="34">
        <f t="shared" si="101"/>
        <v>1</v>
      </c>
      <c r="AI53" s="34">
        <f t="shared" si="101"/>
        <v>1</v>
      </c>
      <c r="AJ53" s="34">
        <f t="shared" si="101"/>
        <v>1</v>
      </c>
      <c r="AK53" s="34">
        <f t="shared" si="101"/>
        <v>1</v>
      </c>
      <c r="AL53" s="34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27</v>
      </c>
      <c r="BO53" s="24">
        <v>1.4409999999999998</v>
      </c>
      <c r="BP53" s="34">
        <v>1.4409999999999998</v>
      </c>
      <c r="BQ53" s="34">
        <v>1.4409999999999998</v>
      </c>
      <c r="BR53" s="34">
        <v>1.4409999999999998</v>
      </c>
      <c r="BS53" s="7" t="s">
        <v>14</v>
      </c>
      <c r="BT53" s="34">
        <v>2.595249999999999</v>
      </c>
      <c r="BU53" s="34">
        <v>0.0</v>
      </c>
      <c r="BV53" s="34">
        <v>1.4409999999999998</v>
      </c>
      <c r="BW53" s="34">
        <v>8.28475</v>
      </c>
      <c r="BX53" s="34">
        <v>0.0</v>
      </c>
      <c r="BY53" s="34">
        <v>20.04325</v>
      </c>
      <c r="BZ53" s="34">
        <v>0.0</v>
      </c>
      <c r="CA53" s="34">
        <v>7.83925</v>
      </c>
      <c r="CB53" s="34">
        <v>16.428250000000002</v>
      </c>
      <c r="CC53" s="34">
        <v>0.0</v>
      </c>
      <c r="CD53" s="34">
        <v>2.041</v>
      </c>
      <c r="CE53" s="34">
        <v>0.685</v>
      </c>
      <c r="CF53" s="34">
        <v>0.0</v>
      </c>
      <c r="CG53" s="34">
        <v>0.0</v>
      </c>
      <c r="CH53" s="34">
        <v>2.7265</v>
      </c>
      <c r="CI53" s="34">
        <v>0.0</v>
      </c>
      <c r="CJ53" s="34">
        <v>0.6752500000000001</v>
      </c>
      <c r="CK53" s="34">
        <v>0.11650000000000027</v>
      </c>
      <c r="CL53" s="34">
        <v>2.6784999999999997</v>
      </c>
      <c r="CM53" s="34">
        <v>4.46725</v>
      </c>
    </row>
    <row r="54">
      <c r="A54" s="34">
        <f t="shared" si="99"/>
        <v>4</v>
      </c>
      <c r="B54" s="15">
        <v>0.0</v>
      </c>
      <c r="J54" s="52"/>
      <c r="L54" s="65"/>
      <c r="M54" s="66">
        <f t="shared" ref="M54:T54" si="103">D$51*$B54</f>
        <v>0</v>
      </c>
      <c r="N54" s="66">
        <f t="shared" si="103"/>
        <v>0</v>
      </c>
      <c r="O54" s="66">
        <f t="shared" si="103"/>
        <v>0</v>
      </c>
      <c r="P54" s="66">
        <f t="shared" si="103"/>
        <v>0</v>
      </c>
      <c r="Q54" s="66">
        <f t="shared" si="103"/>
        <v>0</v>
      </c>
      <c r="R54" s="66">
        <f t="shared" si="103"/>
        <v>0</v>
      </c>
      <c r="S54" s="66">
        <f t="shared" si="103"/>
        <v>0</v>
      </c>
      <c r="T54" s="66">
        <f t="shared" si="103"/>
        <v>0</v>
      </c>
      <c r="U54" s="66"/>
      <c r="V54" s="37">
        <v>25.10425</v>
      </c>
      <c r="W54" s="37">
        <v>25.10425</v>
      </c>
      <c r="X54" s="37">
        <v>25.10425</v>
      </c>
      <c r="Y54" s="37">
        <v>25.10425</v>
      </c>
      <c r="Z54" s="37">
        <v>25.10425</v>
      </c>
      <c r="AA54" s="37">
        <v>25.10425</v>
      </c>
      <c r="AB54" s="37">
        <v>25.10425</v>
      </c>
      <c r="AC54" s="37">
        <v>25.10425</v>
      </c>
      <c r="AE54" s="34">
        <f t="shared" ref="AE54:AL54" si="104">if(V54&gt;0,1,0)</f>
        <v>1</v>
      </c>
      <c r="AF54" s="34">
        <f t="shared" si="104"/>
        <v>1</v>
      </c>
      <c r="AG54" s="34">
        <f t="shared" si="104"/>
        <v>1</v>
      </c>
      <c r="AH54" s="34">
        <f t="shared" si="104"/>
        <v>1</v>
      </c>
      <c r="AI54" s="34">
        <f t="shared" si="104"/>
        <v>1</v>
      </c>
      <c r="AJ54" s="34">
        <f t="shared" si="104"/>
        <v>1</v>
      </c>
      <c r="AK54" s="34">
        <f t="shared" si="104"/>
        <v>1</v>
      </c>
      <c r="AL54" s="34">
        <f t="shared" si="104"/>
        <v>1</v>
      </c>
      <c r="AM54" s="67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4">
        <v>8.28475</v>
      </c>
      <c r="BP54" s="34">
        <v>8.28475</v>
      </c>
      <c r="BQ54" s="34">
        <v>8.28475</v>
      </c>
      <c r="BR54" s="34">
        <v>8.28475</v>
      </c>
      <c r="BS54" s="7" t="s">
        <v>14</v>
      </c>
      <c r="BT54" s="34">
        <v>2.595249999999999</v>
      </c>
      <c r="BU54" s="34">
        <v>0.0</v>
      </c>
      <c r="BV54" s="34">
        <v>1.4409999999999998</v>
      </c>
      <c r="BW54" s="34">
        <v>8.28475</v>
      </c>
      <c r="BX54" s="34">
        <v>0.0</v>
      </c>
      <c r="BY54" s="34">
        <v>20.04325</v>
      </c>
      <c r="BZ54" s="34">
        <v>0.0</v>
      </c>
      <c r="CA54" s="34">
        <v>7.83925</v>
      </c>
      <c r="CB54" s="34">
        <v>16.428250000000002</v>
      </c>
      <c r="CC54" s="34">
        <v>0.0</v>
      </c>
      <c r="CD54" s="34">
        <v>2.041</v>
      </c>
      <c r="CE54" s="34">
        <v>0.685</v>
      </c>
      <c r="CF54" s="34">
        <v>0.0</v>
      </c>
      <c r="CG54" s="34">
        <v>0.0</v>
      </c>
      <c r="CH54" s="34">
        <v>2.7265</v>
      </c>
      <c r="CI54" s="34">
        <v>0.0</v>
      </c>
      <c r="CJ54" s="34">
        <v>0.6752500000000001</v>
      </c>
      <c r="CK54" s="34">
        <v>0.11650000000000027</v>
      </c>
      <c r="CL54" s="34">
        <v>2.6784999999999997</v>
      </c>
      <c r="CM54" s="34">
        <v>4.46725</v>
      </c>
    </row>
    <row r="55">
      <c r="A55" s="34">
        <f t="shared" si="99"/>
        <v>5</v>
      </c>
      <c r="B55" s="15">
        <v>0.10745614680786286</v>
      </c>
      <c r="L55" s="66"/>
      <c r="M55" s="66">
        <f t="shared" ref="M55:T55" si="106">D$51*$B55</f>
        <v>0.08059211011</v>
      </c>
      <c r="N55" s="66">
        <f t="shared" si="106"/>
        <v>0.08059211011</v>
      </c>
      <c r="O55" s="66">
        <f t="shared" si="106"/>
        <v>0.08059211011</v>
      </c>
      <c r="P55" s="66">
        <f t="shared" si="106"/>
        <v>0.08059211011</v>
      </c>
      <c r="Q55" s="66">
        <f t="shared" si="106"/>
        <v>0.08059211011</v>
      </c>
      <c r="R55" s="66">
        <f t="shared" si="106"/>
        <v>0.08059211011</v>
      </c>
      <c r="S55" s="66">
        <f t="shared" si="106"/>
        <v>0.08059211011</v>
      </c>
      <c r="T55" s="66">
        <f t="shared" si="106"/>
        <v>0.08059211011</v>
      </c>
      <c r="U55" s="66"/>
      <c r="V55" s="37">
        <v>0.25</v>
      </c>
      <c r="W55" s="37">
        <v>0.25</v>
      </c>
      <c r="X55" s="37">
        <v>0.25</v>
      </c>
      <c r="Y55" s="37">
        <v>0.25</v>
      </c>
      <c r="Z55" s="37">
        <v>0.25</v>
      </c>
      <c r="AA55" s="37">
        <v>0.25</v>
      </c>
      <c r="AB55" s="37">
        <v>0.25</v>
      </c>
      <c r="AC55" s="37">
        <v>0.25</v>
      </c>
      <c r="AE55" s="34">
        <f t="shared" ref="AE55:AL55" si="107">if(V55&gt;0,1,0)</f>
        <v>1</v>
      </c>
      <c r="AF55" s="34">
        <f t="shared" si="107"/>
        <v>1</v>
      </c>
      <c r="AG55" s="34">
        <f t="shared" si="107"/>
        <v>1</v>
      </c>
      <c r="AH55" s="34">
        <f t="shared" si="107"/>
        <v>1</v>
      </c>
      <c r="AI55" s="34">
        <f t="shared" si="107"/>
        <v>1</v>
      </c>
      <c r="AJ55" s="34">
        <f t="shared" si="107"/>
        <v>1</v>
      </c>
      <c r="AK55" s="34">
        <f t="shared" si="107"/>
        <v>1</v>
      </c>
      <c r="AL55" s="34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4">
        <f t="shared" ref="BF55:BM55" si="109">BF51*$BF$53</f>
        <v>0.0001400166626</v>
      </c>
      <c r="BG55" s="34">
        <f t="shared" si="109"/>
        <v>0.0001400166626</v>
      </c>
      <c r="BH55" s="34">
        <f t="shared" si="109"/>
        <v>0.0001400166626</v>
      </c>
      <c r="BI55" s="34">
        <f t="shared" si="109"/>
        <v>0.0001400166626</v>
      </c>
      <c r="BJ55" s="34">
        <f t="shared" si="109"/>
        <v>0.0001400166626</v>
      </c>
      <c r="BK55" s="34">
        <f t="shared" si="109"/>
        <v>0.0001400166626</v>
      </c>
      <c r="BL55" s="34">
        <f t="shared" si="109"/>
        <v>0.0001400166626</v>
      </c>
      <c r="BM55" s="34">
        <f t="shared" si="109"/>
        <v>0.0001400166626</v>
      </c>
      <c r="BO55" s="34">
        <v>0.0</v>
      </c>
      <c r="BP55" s="34">
        <v>0.0</v>
      </c>
      <c r="BQ55" s="34">
        <v>0.0</v>
      </c>
      <c r="BR55" s="34">
        <v>0.0</v>
      </c>
    </row>
    <row r="56">
      <c r="A56" s="34">
        <f t="shared" si="99"/>
        <v>6</v>
      </c>
      <c r="B56" s="15">
        <v>0.0</v>
      </c>
      <c r="L56" s="66"/>
      <c r="M56" s="66">
        <f t="shared" ref="M56:T56" si="110">D$51*$B56</f>
        <v>0</v>
      </c>
      <c r="N56" s="66">
        <f t="shared" si="110"/>
        <v>0</v>
      </c>
      <c r="O56" s="66">
        <f t="shared" si="110"/>
        <v>0</v>
      </c>
      <c r="P56" s="66">
        <f t="shared" si="110"/>
        <v>0</v>
      </c>
      <c r="Q56" s="66">
        <f t="shared" si="110"/>
        <v>0</v>
      </c>
      <c r="R56" s="66">
        <f t="shared" si="110"/>
        <v>0</v>
      </c>
      <c r="S56" s="66">
        <f t="shared" si="110"/>
        <v>0</v>
      </c>
      <c r="T56" s="66">
        <f t="shared" si="110"/>
        <v>0</v>
      </c>
      <c r="U56" s="66"/>
      <c r="V56" s="37">
        <v>60.37975</v>
      </c>
      <c r="W56" s="37">
        <v>60.37975</v>
      </c>
      <c r="X56" s="37">
        <v>60.37975</v>
      </c>
      <c r="Y56" s="37">
        <v>60.37975</v>
      </c>
      <c r="Z56" s="37">
        <v>60.37975</v>
      </c>
      <c r="AA56" s="37">
        <v>60.37975</v>
      </c>
      <c r="AB56" s="37">
        <v>60.37975</v>
      </c>
      <c r="AC56" s="37">
        <v>60.37975</v>
      </c>
      <c r="AE56" s="34">
        <f t="shared" ref="AE56:AL56" si="111">if(V56&gt;0,1,0)</f>
        <v>1</v>
      </c>
      <c r="AF56" s="34">
        <f t="shared" si="111"/>
        <v>1</v>
      </c>
      <c r="AG56" s="34">
        <f t="shared" si="111"/>
        <v>1</v>
      </c>
      <c r="AH56" s="34">
        <f t="shared" si="111"/>
        <v>1</v>
      </c>
      <c r="AI56" s="34">
        <f t="shared" si="111"/>
        <v>1</v>
      </c>
      <c r="AJ56" s="34">
        <f t="shared" si="111"/>
        <v>1</v>
      </c>
      <c r="AK56" s="34">
        <f t="shared" si="111"/>
        <v>1</v>
      </c>
      <c r="AL56" s="34">
        <f t="shared" si="111"/>
        <v>1</v>
      </c>
      <c r="AM56" s="67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68" t="s">
        <v>30</v>
      </c>
      <c r="BG56" s="69"/>
      <c r="BH56" s="69"/>
      <c r="BI56" s="69"/>
      <c r="BJ56" s="69"/>
      <c r="BK56" s="69"/>
      <c r="BL56" s="69"/>
      <c r="BM56" s="69"/>
      <c r="BO56" s="34">
        <v>20.04325</v>
      </c>
      <c r="BP56" s="34">
        <v>20.04325</v>
      </c>
      <c r="BQ56" s="34">
        <v>20.04325</v>
      </c>
      <c r="BR56" s="34">
        <v>20.04325</v>
      </c>
      <c r="BT56" s="7" t="s">
        <v>24</v>
      </c>
    </row>
    <row r="57">
      <c r="A57" s="34">
        <f t="shared" si="99"/>
        <v>7</v>
      </c>
      <c r="B57" s="15">
        <v>0.10745614680786286</v>
      </c>
      <c r="L57" s="66"/>
      <c r="M57" s="66">
        <f t="shared" ref="M57:T57" si="113">D$51*$B57</f>
        <v>0.08059211011</v>
      </c>
      <c r="N57" s="66">
        <f t="shared" si="113"/>
        <v>0.08059211011</v>
      </c>
      <c r="O57" s="66">
        <f t="shared" si="113"/>
        <v>0.08059211011</v>
      </c>
      <c r="P57" s="66">
        <f t="shared" si="113"/>
        <v>0.08059211011</v>
      </c>
      <c r="Q57" s="66">
        <f t="shared" si="113"/>
        <v>0.08059211011</v>
      </c>
      <c r="R57" s="66">
        <f t="shared" si="113"/>
        <v>0.08059211011</v>
      </c>
      <c r="S57" s="66">
        <f t="shared" si="113"/>
        <v>0.08059211011</v>
      </c>
      <c r="T57" s="66">
        <f t="shared" si="113"/>
        <v>0.08059211011</v>
      </c>
      <c r="U57" s="66"/>
      <c r="V57" s="37">
        <v>0.25</v>
      </c>
      <c r="W57" s="37">
        <v>0.25</v>
      </c>
      <c r="X57" s="37">
        <v>0.25</v>
      </c>
      <c r="Y57" s="37">
        <v>0.25</v>
      </c>
      <c r="Z57" s="37">
        <v>0.25</v>
      </c>
      <c r="AA57" s="37">
        <v>0.25</v>
      </c>
      <c r="AB57" s="37">
        <v>0.25</v>
      </c>
      <c r="AC57" s="37">
        <v>0.25</v>
      </c>
      <c r="AE57" s="34">
        <f t="shared" ref="AE57:AL57" si="114">if(V57&gt;0,1,0)</f>
        <v>1</v>
      </c>
      <c r="AF57" s="34">
        <f t="shared" si="114"/>
        <v>1</v>
      </c>
      <c r="AG57" s="34">
        <f t="shared" si="114"/>
        <v>1</v>
      </c>
      <c r="AH57" s="34">
        <f t="shared" si="114"/>
        <v>1</v>
      </c>
      <c r="AI57" s="34">
        <f t="shared" si="114"/>
        <v>1</v>
      </c>
      <c r="AJ57" s="34">
        <f t="shared" si="114"/>
        <v>1</v>
      </c>
      <c r="AK57" s="34">
        <f t="shared" si="114"/>
        <v>1</v>
      </c>
      <c r="AL57" s="34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69">
        <f t="shared" ref="BF57:BM57" si="116">AW57-BF55</f>
        <v>0.2498599833</v>
      </c>
      <c r="BG57" s="69">
        <f t="shared" si="116"/>
        <v>0.2498599833</v>
      </c>
      <c r="BH57" s="69">
        <f t="shared" si="116"/>
        <v>0.2498599833</v>
      </c>
      <c r="BI57" s="69">
        <f t="shared" si="116"/>
        <v>0.2498599833</v>
      </c>
      <c r="BJ57" s="69">
        <f t="shared" si="116"/>
        <v>0.2498599833</v>
      </c>
      <c r="BK57" s="69">
        <f t="shared" si="116"/>
        <v>0.2498599833</v>
      </c>
      <c r="BL57" s="69">
        <f t="shared" si="116"/>
        <v>0.2498599833</v>
      </c>
      <c r="BM57" s="69">
        <f t="shared" si="116"/>
        <v>0.2498599833</v>
      </c>
      <c r="BO57" s="34">
        <v>0.0</v>
      </c>
      <c r="BP57" s="34">
        <v>0.0</v>
      </c>
      <c r="BQ57" s="34">
        <v>0.0</v>
      </c>
      <c r="BR57" s="34">
        <v>0.0</v>
      </c>
      <c r="BT57" s="34">
        <v>0.0</v>
      </c>
      <c r="BU57" s="34">
        <v>0.0</v>
      </c>
      <c r="BV57" s="34">
        <v>0.0</v>
      </c>
      <c r="BW57" s="34">
        <v>0.0</v>
      </c>
      <c r="BX57" s="34">
        <v>0.0</v>
      </c>
      <c r="BY57" s="34">
        <v>0.0</v>
      </c>
      <c r="BZ57" s="34">
        <v>0.0</v>
      </c>
      <c r="CA57" s="34">
        <v>0.0</v>
      </c>
      <c r="CC57" s="34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4">
        <f t="shared" si="117"/>
        <v>-0.00003736024666</v>
      </c>
      <c r="CE57" s="34">
        <f t="shared" si="117"/>
        <v>-0.00003736024666</v>
      </c>
      <c r="CF57" s="34">
        <f t="shared" si="117"/>
        <v>-0.00003736024666</v>
      </c>
      <c r="CG57" s="34">
        <f t="shared" si="117"/>
        <v>-0.00003736024666</v>
      </c>
      <c r="CH57" s="34">
        <f t="shared" si="117"/>
        <v>-0.00003736024666</v>
      </c>
      <c r="CI57" s="34">
        <f t="shared" si="117"/>
        <v>-0.00003736024666</v>
      </c>
      <c r="CJ57" s="34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4">
        <f t="shared" si="99"/>
        <v>8</v>
      </c>
      <c r="B58" s="15">
        <v>0.0</v>
      </c>
      <c r="L58" s="66"/>
      <c r="M58" s="66">
        <f t="shared" ref="M58:T58" si="118">D$51*$B58</f>
        <v>0</v>
      </c>
      <c r="N58" s="66">
        <f t="shared" si="118"/>
        <v>0</v>
      </c>
      <c r="O58" s="66">
        <f t="shared" si="118"/>
        <v>0</v>
      </c>
      <c r="P58" s="66">
        <f t="shared" si="118"/>
        <v>0</v>
      </c>
      <c r="Q58" s="66">
        <f t="shared" si="118"/>
        <v>0</v>
      </c>
      <c r="R58" s="66">
        <f t="shared" si="118"/>
        <v>0</v>
      </c>
      <c r="S58" s="66">
        <f t="shared" si="118"/>
        <v>0</v>
      </c>
      <c r="T58" s="66">
        <f t="shared" si="118"/>
        <v>0</v>
      </c>
      <c r="U58" s="66"/>
      <c r="V58" s="37">
        <v>23.76775</v>
      </c>
      <c r="W58" s="37">
        <v>23.76775</v>
      </c>
      <c r="X58" s="37">
        <v>23.76775</v>
      </c>
      <c r="Y58" s="37">
        <v>23.76775</v>
      </c>
      <c r="Z58" s="37">
        <v>23.76775</v>
      </c>
      <c r="AA58" s="37">
        <v>23.76775</v>
      </c>
      <c r="AB58" s="37">
        <v>23.76775</v>
      </c>
      <c r="AC58" s="37">
        <v>23.76775</v>
      </c>
      <c r="AE58" s="34">
        <f t="shared" ref="AE58:AL58" si="119">if(V58&gt;0,1,0)</f>
        <v>1</v>
      </c>
      <c r="AF58" s="34">
        <f t="shared" si="119"/>
        <v>1</v>
      </c>
      <c r="AG58" s="34">
        <f t="shared" si="119"/>
        <v>1</v>
      </c>
      <c r="AH58" s="34">
        <f t="shared" si="119"/>
        <v>1</v>
      </c>
      <c r="AI58" s="34">
        <f t="shared" si="119"/>
        <v>1</v>
      </c>
      <c r="AJ58" s="34">
        <f t="shared" si="119"/>
        <v>1</v>
      </c>
      <c r="AK58" s="34">
        <f t="shared" si="119"/>
        <v>1</v>
      </c>
      <c r="AL58" s="34">
        <f t="shared" si="119"/>
        <v>1</v>
      </c>
      <c r="AM58" s="67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4">
        <v>7.83925</v>
      </c>
      <c r="BP58" s="34">
        <v>7.83925</v>
      </c>
      <c r="BQ58" s="34">
        <v>7.83925</v>
      </c>
      <c r="BR58" s="34">
        <v>7.83925</v>
      </c>
      <c r="BT58" s="34">
        <v>0.08059211010589715</v>
      </c>
      <c r="BU58" s="34">
        <v>0.08059211010589715</v>
      </c>
      <c r="BV58" s="34">
        <v>0.08059211010589715</v>
      </c>
      <c r="BW58" s="34">
        <v>0.08059211010589715</v>
      </c>
      <c r="BX58" s="34">
        <v>0.08059211010589715</v>
      </c>
      <c r="BY58" s="34">
        <v>0.08059211010589715</v>
      </c>
      <c r="BZ58" s="34">
        <v>0.08059211010589715</v>
      </c>
      <c r="CA58" s="34">
        <v>0.08059211010589715</v>
      </c>
      <c r="CC58" s="34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4">
        <f t="shared" si="121"/>
        <v>-0.00003736024666</v>
      </c>
      <c r="CE58" s="34">
        <f t="shared" si="121"/>
        <v>-0.00003736024666</v>
      </c>
      <c r="CF58" s="34">
        <f t="shared" si="121"/>
        <v>-0.00003736024666</v>
      </c>
      <c r="CG58" s="34">
        <f t="shared" si="121"/>
        <v>-0.00003736024666</v>
      </c>
      <c r="CH58" s="34">
        <f t="shared" si="121"/>
        <v>-0.00003736024666</v>
      </c>
      <c r="CI58" s="34">
        <f t="shared" si="121"/>
        <v>-0.00003736024666</v>
      </c>
      <c r="CJ58" s="34">
        <f t="shared" si="121"/>
        <v>-0.00003736024666</v>
      </c>
    </row>
    <row r="59">
      <c r="A59" s="34">
        <f t="shared" si="99"/>
        <v>9</v>
      </c>
      <c r="B59" s="15">
        <v>0.0</v>
      </c>
      <c r="M59" s="66">
        <f t="shared" ref="M59:T59" si="122">D$51*$B59</f>
        <v>0</v>
      </c>
      <c r="N59" s="66">
        <f t="shared" si="122"/>
        <v>0</v>
      </c>
      <c r="O59" s="66">
        <f t="shared" si="122"/>
        <v>0</v>
      </c>
      <c r="P59" s="66">
        <f t="shared" si="122"/>
        <v>0</v>
      </c>
      <c r="Q59" s="66">
        <f t="shared" si="122"/>
        <v>0</v>
      </c>
      <c r="R59" s="66">
        <f t="shared" si="122"/>
        <v>0</v>
      </c>
      <c r="S59" s="66">
        <f t="shared" si="122"/>
        <v>0</v>
      </c>
      <c r="T59" s="66">
        <f t="shared" si="122"/>
        <v>0</v>
      </c>
      <c r="V59" s="37">
        <v>49.53475</v>
      </c>
      <c r="W59" s="37">
        <v>49.53475</v>
      </c>
      <c r="X59" s="37">
        <v>49.53475</v>
      </c>
      <c r="Y59" s="37">
        <v>49.53475</v>
      </c>
      <c r="Z59" s="37">
        <v>49.53475</v>
      </c>
      <c r="AA59" s="37">
        <v>49.53475</v>
      </c>
      <c r="AB59" s="37">
        <v>49.53475</v>
      </c>
      <c r="AC59" s="37">
        <v>49.53475</v>
      </c>
      <c r="AE59" s="34">
        <f t="shared" ref="AE59:AL59" si="123">if(V59&gt;0,1,0)</f>
        <v>1</v>
      </c>
      <c r="AF59" s="34">
        <f t="shared" si="123"/>
        <v>1</v>
      </c>
      <c r="AG59" s="34">
        <f t="shared" si="123"/>
        <v>1</v>
      </c>
      <c r="AH59" s="34">
        <f t="shared" si="123"/>
        <v>1</v>
      </c>
      <c r="AI59" s="34">
        <f t="shared" si="123"/>
        <v>1</v>
      </c>
      <c r="AJ59" s="34">
        <f t="shared" si="123"/>
        <v>1</v>
      </c>
      <c r="AK59" s="34">
        <f t="shared" si="123"/>
        <v>1</v>
      </c>
      <c r="AL59" s="34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36</v>
      </c>
      <c r="BO59" s="34">
        <v>16.428250000000002</v>
      </c>
      <c r="BP59" s="34">
        <v>16.428250000000002</v>
      </c>
      <c r="BQ59" s="34">
        <v>16.428250000000002</v>
      </c>
      <c r="BR59" s="34">
        <v>16.428250000000002</v>
      </c>
      <c r="BT59" s="34">
        <v>7.084333120119741E-13</v>
      </c>
      <c r="BU59" s="34">
        <v>7.084333120119741E-13</v>
      </c>
      <c r="BV59" s="34">
        <v>7.084333120119741E-13</v>
      </c>
      <c r="BW59" s="34">
        <v>7.084333120119741E-13</v>
      </c>
      <c r="BX59" s="34">
        <v>7.084333120119741E-13</v>
      </c>
      <c r="BY59" s="34">
        <v>7.084333120119741E-13</v>
      </c>
      <c r="BZ59" s="34">
        <v>7.084333120119741E-13</v>
      </c>
      <c r="CA59" s="34">
        <v>7.084333120119741E-13</v>
      </c>
      <c r="CC59" s="34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4">
        <f t="shared" si="125"/>
        <v>-0.00003736024666</v>
      </c>
      <c r="CE59" s="34">
        <f t="shared" si="125"/>
        <v>-0.00003736024666</v>
      </c>
      <c r="CF59" s="34">
        <f t="shared" si="125"/>
        <v>-0.00003736024666</v>
      </c>
      <c r="CG59" s="34">
        <f t="shared" si="125"/>
        <v>-0.00003736024666</v>
      </c>
      <c r="CH59" s="34">
        <f t="shared" si="125"/>
        <v>-0.00003736024666</v>
      </c>
      <c r="CI59" s="34">
        <f t="shared" si="125"/>
        <v>-0.00003736024666</v>
      </c>
      <c r="CJ59" s="34">
        <f t="shared" si="125"/>
        <v>-0.00003736024666</v>
      </c>
    </row>
    <row r="60">
      <c r="A60" s="34">
        <f t="shared" si="99"/>
        <v>10</v>
      </c>
      <c r="B60" s="15">
        <v>0.10745614680786286</v>
      </c>
      <c r="M60" s="66">
        <f t="shared" ref="M60:T60" si="126">D$51*$B60</f>
        <v>0.08059211011</v>
      </c>
      <c r="N60" s="66">
        <f t="shared" si="126"/>
        <v>0.08059211011</v>
      </c>
      <c r="O60" s="66">
        <f t="shared" si="126"/>
        <v>0.08059211011</v>
      </c>
      <c r="P60" s="66">
        <f t="shared" si="126"/>
        <v>0.08059211011</v>
      </c>
      <c r="Q60" s="66">
        <f t="shared" si="126"/>
        <v>0.08059211011</v>
      </c>
      <c r="R60" s="66">
        <f t="shared" si="126"/>
        <v>0.08059211011</v>
      </c>
      <c r="S60" s="66">
        <f t="shared" si="126"/>
        <v>0.08059211011</v>
      </c>
      <c r="T60" s="66">
        <f t="shared" si="126"/>
        <v>0.08059211011</v>
      </c>
      <c r="V60" s="37">
        <v>0.25</v>
      </c>
      <c r="W60" s="37">
        <v>0.25</v>
      </c>
      <c r="X60" s="37">
        <v>0.25</v>
      </c>
      <c r="Y60" s="37">
        <v>0.25</v>
      </c>
      <c r="Z60" s="37">
        <v>0.25</v>
      </c>
      <c r="AA60" s="37">
        <v>0.25</v>
      </c>
      <c r="AB60" s="37">
        <v>0.25</v>
      </c>
      <c r="AC60" s="37">
        <v>0.25</v>
      </c>
      <c r="AE60" s="34">
        <f t="shared" ref="AE60:AL60" si="127">if(V60&gt;0,1,0)</f>
        <v>1</v>
      </c>
      <c r="AF60" s="34">
        <f t="shared" si="127"/>
        <v>1</v>
      </c>
      <c r="AG60" s="34">
        <f t="shared" si="127"/>
        <v>1</v>
      </c>
      <c r="AH60" s="34">
        <f t="shared" si="127"/>
        <v>1</v>
      </c>
      <c r="AI60" s="34">
        <f t="shared" si="127"/>
        <v>1</v>
      </c>
      <c r="AJ60" s="34">
        <f t="shared" si="127"/>
        <v>1</v>
      </c>
      <c r="AK60" s="34">
        <f t="shared" si="127"/>
        <v>1</v>
      </c>
      <c r="AL60" s="34">
        <f t="shared" si="127"/>
        <v>1</v>
      </c>
      <c r="AM60" s="67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4">
        <v>0.0</v>
      </c>
      <c r="BP60" s="34">
        <v>0.0</v>
      </c>
      <c r="BQ60" s="34">
        <v>0.0</v>
      </c>
      <c r="BR60" s="34">
        <v>0.0</v>
      </c>
      <c r="BT60" s="34">
        <v>0.0</v>
      </c>
      <c r="BU60" s="34">
        <v>0.0</v>
      </c>
      <c r="BV60" s="34">
        <v>0.0</v>
      </c>
      <c r="BW60" s="34">
        <v>0.0</v>
      </c>
      <c r="BX60" s="34">
        <v>0.0</v>
      </c>
      <c r="BY60" s="34">
        <v>0.0</v>
      </c>
      <c r="BZ60" s="34">
        <v>0.0</v>
      </c>
      <c r="CA60" s="34">
        <v>0.0</v>
      </c>
      <c r="CC60" s="34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4">
        <f t="shared" si="129"/>
        <v>-0.00003736024666</v>
      </c>
      <c r="CE60" s="34">
        <f t="shared" si="129"/>
        <v>-0.00003736024666</v>
      </c>
      <c r="CF60" s="34">
        <f t="shared" si="129"/>
        <v>-0.00003736024666</v>
      </c>
      <c r="CG60" s="34">
        <f t="shared" si="129"/>
        <v>-0.00003736024666</v>
      </c>
      <c r="CH60" s="34">
        <f t="shared" si="129"/>
        <v>-0.00003736024666</v>
      </c>
      <c r="CI60" s="34">
        <f t="shared" si="129"/>
        <v>-0.00003736024666</v>
      </c>
      <c r="CJ60" s="34">
        <f t="shared" si="129"/>
        <v>-0.00003736024666</v>
      </c>
    </row>
    <row r="61">
      <c r="A61" s="34">
        <f t="shared" si="99"/>
        <v>11</v>
      </c>
      <c r="B61" s="15">
        <v>0.0</v>
      </c>
      <c r="M61" s="66">
        <f t="shared" ref="M61:M70" si="133">D$51*B61</f>
        <v>0</v>
      </c>
      <c r="N61" s="66">
        <f t="shared" ref="N61:T61" si="130">E$51*$B61</f>
        <v>0</v>
      </c>
      <c r="O61" s="66">
        <f t="shared" si="130"/>
        <v>0</v>
      </c>
      <c r="P61" s="66">
        <f t="shared" si="130"/>
        <v>0</v>
      </c>
      <c r="Q61" s="66">
        <f t="shared" si="130"/>
        <v>0</v>
      </c>
      <c r="R61" s="66">
        <f t="shared" si="130"/>
        <v>0</v>
      </c>
      <c r="S61" s="66">
        <f t="shared" si="130"/>
        <v>0</v>
      </c>
      <c r="T61" s="66">
        <f t="shared" si="130"/>
        <v>0</v>
      </c>
      <c r="V61" s="37">
        <v>6.372999999999999</v>
      </c>
      <c r="W61" s="37">
        <v>6.372999999999999</v>
      </c>
      <c r="X61" s="37">
        <v>6.372999999999999</v>
      </c>
      <c r="Y61" s="37">
        <v>6.372999999999999</v>
      </c>
      <c r="Z61" s="37">
        <v>6.372999999999999</v>
      </c>
      <c r="AA61" s="37">
        <v>6.372999999999999</v>
      </c>
      <c r="AB61" s="37">
        <v>6.372999999999999</v>
      </c>
      <c r="AC61" s="37">
        <v>6.372999999999999</v>
      </c>
      <c r="AE61" s="34">
        <f t="shared" ref="AE61:AL61" si="131">if(V61&gt;0,1,0)</f>
        <v>1</v>
      </c>
      <c r="AF61" s="34">
        <f t="shared" si="131"/>
        <v>1</v>
      </c>
      <c r="AG61" s="34">
        <f t="shared" si="131"/>
        <v>1</v>
      </c>
      <c r="AH61" s="34">
        <f t="shared" si="131"/>
        <v>1</v>
      </c>
      <c r="AI61" s="34">
        <f t="shared" si="131"/>
        <v>1</v>
      </c>
      <c r="AJ61" s="34">
        <f t="shared" si="131"/>
        <v>1</v>
      </c>
      <c r="AK61" s="34">
        <f t="shared" si="131"/>
        <v>1</v>
      </c>
      <c r="AL61" s="34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4">
        <v>2.041</v>
      </c>
      <c r="BP61" s="34">
        <v>2.041</v>
      </c>
      <c r="BQ61" s="34">
        <v>2.041</v>
      </c>
      <c r="BR61" s="34">
        <v>2.041</v>
      </c>
      <c r="BT61" s="34">
        <v>0.08059211010589715</v>
      </c>
      <c r="BU61" s="34">
        <v>0.08059211010589715</v>
      </c>
      <c r="BV61" s="34">
        <v>0.08059211010589715</v>
      </c>
      <c r="BW61" s="34">
        <v>0.08059211010589715</v>
      </c>
      <c r="BX61" s="34">
        <v>0.08059211010589715</v>
      </c>
      <c r="BY61" s="34">
        <v>0.08059211010589715</v>
      </c>
      <c r="BZ61" s="34">
        <v>0.08059211010589715</v>
      </c>
      <c r="CA61" s="34">
        <v>0.08059211010589715</v>
      </c>
    </row>
    <row r="62">
      <c r="A62" s="34">
        <f t="shared" si="99"/>
        <v>12</v>
      </c>
      <c r="B62" s="15">
        <v>-5.892049538194572E-13</v>
      </c>
      <c r="M62" s="66">
        <f t="shared" si="133"/>
        <v>0</v>
      </c>
      <c r="N62" s="66">
        <f t="shared" ref="N62:T62" si="134">E$51*$B62</f>
        <v>0</v>
      </c>
      <c r="O62" s="66">
        <f t="shared" si="134"/>
        <v>0</v>
      </c>
      <c r="P62" s="66">
        <f t="shared" si="134"/>
        <v>0</v>
      </c>
      <c r="Q62" s="66">
        <f t="shared" si="134"/>
        <v>0</v>
      </c>
      <c r="R62" s="66">
        <f t="shared" si="134"/>
        <v>0</v>
      </c>
      <c r="S62" s="66">
        <f t="shared" si="134"/>
        <v>0</v>
      </c>
      <c r="T62" s="66">
        <f t="shared" si="134"/>
        <v>0</v>
      </c>
      <c r="V62" s="37">
        <v>2.305</v>
      </c>
      <c r="W62" s="37">
        <v>2.305</v>
      </c>
      <c r="X62" s="37">
        <v>2.305</v>
      </c>
      <c r="Y62" s="37">
        <v>2.305</v>
      </c>
      <c r="Z62" s="37">
        <v>2.305</v>
      </c>
      <c r="AA62" s="37">
        <v>2.305</v>
      </c>
      <c r="AB62" s="37">
        <v>2.305</v>
      </c>
      <c r="AC62" s="37">
        <v>2.305</v>
      </c>
      <c r="AE62" s="34">
        <f t="shared" ref="AE62:AL62" si="135">if(V62&gt;0,1,0)</f>
        <v>1</v>
      </c>
      <c r="AF62" s="34">
        <f t="shared" si="135"/>
        <v>1</v>
      </c>
      <c r="AG62" s="34">
        <f t="shared" si="135"/>
        <v>1</v>
      </c>
      <c r="AH62" s="34">
        <f t="shared" si="135"/>
        <v>1</v>
      </c>
      <c r="AI62" s="34">
        <f t="shared" si="135"/>
        <v>1</v>
      </c>
      <c r="AJ62" s="34">
        <f t="shared" si="135"/>
        <v>1</v>
      </c>
      <c r="AK62" s="34">
        <f t="shared" si="135"/>
        <v>1</v>
      </c>
      <c r="AL62" s="34">
        <f t="shared" si="135"/>
        <v>1</v>
      </c>
      <c r="AM62" s="67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4">
        <v>0.685</v>
      </c>
      <c r="BP62" s="34">
        <v>0.685</v>
      </c>
      <c r="BQ62" s="34">
        <v>0.685</v>
      </c>
      <c r="BR62" s="34">
        <v>0.685</v>
      </c>
      <c r="BT62" s="34">
        <v>0.0</v>
      </c>
      <c r="BU62" s="34">
        <v>0.0</v>
      </c>
      <c r="BV62" s="34">
        <v>0.0</v>
      </c>
      <c r="BW62" s="34">
        <v>0.0</v>
      </c>
      <c r="BX62" s="34">
        <v>0.0</v>
      </c>
      <c r="BY62" s="34">
        <v>0.0</v>
      </c>
      <c r="BZ62" s="34">
        <v>0.0</v>
      </c>
      <c r="CA62" s="34">
        <v>0.0</v>
      </c>
      <c r="CC62" s="7" t="s">
        <v>37</v>
      </c>
      <c r="CD62" s="7">
        <v>0.01</v>
      </c>
    </row>
    <row r="63">
      <c r="A63" s="34">
        <f t="shared" si="99"/>
        <v>13</v>
      </c>
      <c r="B63" s="15">
        <v>-0.018673078378792285</v>
      </c>
      <c r="M63" s="66">
        <f t="shared" si="133"/>
        <v>-0.01400480878</v>
      </c>
      <c r="N63" s="66">
        <f t="shared" ref="N63:T63" si="137">E$51*$B63</f>
        <v>-0.01400480878</v>
      </c>
      <c r="O63" s="66">
        <f t="shared" si="137"/>
        <v>-0.01400480878</v>
      </c>
      <c r="P63" s="66">
        <f t="shared" si="137"/>
        <v>-0.01400480878</v>
      </c>
      <c r="Q63" s="66">
        <f t="shared" si="137"/>
        <v>-0.01400480878</v>
      </c>
      <c r="R63" s="66">
        <f t="shared" si="137"/>
        <v>-0.01400480878</v>
      </c>
      <c r="S63" s="66">
        <f t="shared" si="137"/>
        <v>-0.01400480878</v>
      </c>
      <c r="T63" s="66">
        <f t="shared" si="137"/>
        <v>-0.01400480878</v>
      </c>
      <c r="V63" s="37">
        <v>0.25</v>
      </c>
      <c r="W63" s="37">
        <v>0.25</v>
      </c>
      <c r="X63" s="37">
        <v>0.25</v>
      </c>
      <c r="Y63" s="37">
        <v>0.25</v>
      </c>
      <c r="Z63" s="37">
        <v>0.25</v>
      </c>
      <c r="AA63" s="37">
        <v>0.25</v>
      </c>
      <c r="AB63" s="37">
        <v>0.25</v>
      </c>
      <c r="AC63" s="37">
        <v>0.25</v>
      </c>
      <c r="AE63" s="34">
        <f t="shared" ref="AE63:AL63" si="138">if(V63&gt;0,1,0)</f>
        <v>1</v>
      </c>
      <c r="AF63" s="34">
        <f t="shared" si="138"/>
        <v>1</v>
      </c>
      <c r="AG63" s="34">
        <f t="shared" si="138"/>
        <v>1</v>
      </c>
      <c r="AH63" s="34">
        <f t="shared" si="138"/>
        <v>1</v>
      </c>
      <c r="AI63" s="34">
        <f t="shared" si="138"/>
        <v>1</v>
      </c>
      <c r="AJ63" s="34">
        <f t="shared" si="138"/>
        <v>1</v>
      </c>
      <c r="AK63" s="34">
        <f t="shared" si="138"/>
        <v>1</v>
      </c>
      <c r="AL63" s="34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25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4">
        <v>0.0</v>
      </c>
      <c r="BP63" s="34">
        <v>0.0</v>
      </c>
      <c r="BQ63" s="34">
        <v>0.0</v>
      </c>
      <c r="BR63" s="34">
        <v>0.0</v>
      </c>
      <c r="BT63" s="34">
        <v>0.08059211010589715</v>
      </c>
      <c r="BU63" s="34">
        <v>0.08059211010589715</v>
      </c>
      <c r="BV63" s="34">
        <v>0.08059211010589715</v>
      </c>
      <c r="BW63" s="34">
        <v>0.08059211010589715</v>
      </c>
      <c r="BX63" s="34">
        <v>0.08059211010589715</v>
      </c>
      <c r="BY63" s="34">
        <v>0.08059211010589715</v>
      </c>
      <c r="BZ63" s="34">
        <v>0.08059211010589715</v>
      </c>
      <c r="CA63" s="34">
        <v>0.08059211010589715</v>
      </c>
    </row>
    <row r="64">
      <c r="A64" s="34">
        <f t="shared" si="99"/>
        <v>14</v>
      </c>
      <c r="B64" s="15">
        <v>-0.018673078378792285</v>
      </c>
      <c r="M64" s="66">
        <f t="shared" si="133"/>
        <v>-0.01400480878</v>
      </c>
      <c r="N64" s="66">
        <f t="shared" ref="N64:T64" si="140">E$51*$B64</f>
        <v>-0.01400480878</v>
      </c>
      <c r="O64" s="66">
        <f t="shared" si="140"/>
        <v>-0.01400480878</v>
      </c>
      <c r="P64" s="66">
        <f t="shared" si="140"/>
        <v>-0.01400480878</v>
      </c>
      <c r="Q64" s="66">
        <f t="shared" si="140"/>
        <v>-0.01400480878</v>
      </c>
      <c r="R64" s="66">
        <f t="shared" si="140"/>
        <v>-0.01400480878</v>
      </c>
      <c r="S64" s="66">
        <f t="shared" si="140"/>
        <v>-0.01400480878</v>
      </c>
      <c r="T64" s="66">
        <f t="shared" si="140"/>
        <v>-0.01400480878</v>
      </c>
      <c r="V64" s="37">
        <v>0.25</v>
      </c>
      <c r="W64" s="37">
        <v>0.25</v>
      </c>
      <c r="X64" s="37">
        <v>0.25</v>
      </c>
      <c r="Y64" s="37">
        <v>0.25</v>
      </c>
      <c r="Z64" s="37">
        <v>0.25</v>
      </c>
      <c r="AA64" s="37">
        <v>0.25</v>
      </c>
      <c r="AB64" s="37">
        <v>0.25</v>
      </c>
      <c r="AC64" s="37">
        <v>0.25</v>
      </c>
      <c r="AE64" s="34">
        <f t="shared" ref="AE64:AL64" si="141">if(V64&gt;0,1,0)</f>
        <v>1</v>
      </c>
      <c r="AF64" s="34">
        <f t="shared" si="141"/>
        <v>1</v>
      </c>
      <c r="AG64" s="34">
        <f t="shared" si="141"/>
        <v>1</v>
      </c>
      <c r="AH64" s="34">
        <f t="shared" si="141"/>
        <v>1</v>
      </c>
      <c r="AI64" s="34">
        <f t="shared" si="141"/>
        <v>1</v>
      </c>
      <c r="AJ64" s="34">
        <f t="shared" si="141"/>
        <v>1</v>
      </c>
      <c r="AK64" s="34">
        <f t="shared" si="141"/>
        <v>1</v>
      </c>
      <c r="AL64" s="34">
        <f t="shared" si="141"/>
        <v>1</v>
      </c>
      <c r="AM64" s="67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0">
        <f t="shared" ref="AW64:BD64" si="143">AW51-CC64</f>
        <v>0.7500003736</v>
      </c>
      <c r="AX64" s="70">
        <f t="shared" si="143"/>
        <v>0.7500003736</v>
      </c>
      <c r="AY64" s="70">
        <f t="shared" si="143"/>
        <v>0.7500003736</v>
      </c>
      <c r="AZ64" s="70">
        <f t="shared" si="143"/>
        <v>0.7500003736</v>
      </c>
      <c r="BA64" s="70">
        <f t="shared" si="143"/>
        <v>0.7500003736</v>
      </c>
      <c r="BB64" s="70">
        <f t="shared" si="143"/>
        <v>0.7500003736</v>
      </c>
      <c r="BC64" s="70">
        <f t="shared" si="143"/>
        <v>0.7500003736</v>
      </c>
      <c r="BD64" s="70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4">
        <v>0.0</v>
      </c>
      <c r="BP64" s="34">
        <v>0.0</v>
      </c>
      <c r="BQ64" s="34">
        <v>0.0</v>
      </c>
      <c r="BR64" s="34">
        <v>0.0</v>
      </c>
      <c r="BT64" s="34">
        <v>0.0</v>
      </c>
      <c r="BU64" s="34">
        <v>0.0</v>
      </c>
      <c r="BV64" s="34">
        <v>0.0</v>
      </c>
      <c r="BW64" s="34">
        <v>0.0</v>
      </c>
      <c r="BX64" s="34">
        <v>0.0</v>
      </c>
      <c r="BY64" s="34">
        <v>0.0</v>
      </c>
      <c r="BZ64" s="34">
        <v>0.0</v>
      </c>
      <c r="CA64" s="34">
        <v>0.0</v>
      </c>
      <c r="CC64" s="10">
        <f t="shared" ref="CC64:CJ64" si="144">CC57*$CD$62</f>
        <v>-0.0000003736024666</v>
      </c>
      <c r="CD64" s="10">
        <f t="shared" si="144"/>
        <v>-0.0000003736024666</v>
      </c>
      <c r="CE64" s="10">
        <f t="shared" si="144"/>
        <v>-0.0000003736024666</v>
      </c>
      <c r="CF64" s="10">
        <f t="shared" si="144"/>
        <v>-0.0000003736024666</v>
      </c>
      <c r="CG64" s="10">
        <f t="shared" si="144"/>
        <v>-0.0000003736024666</v>
      </c>
      <c r="CH64" s="10">
        <f t="shared" si="144"/>
        <v>-0.0000003736024666</v>
      </c>
      <c r="CI64" s="10">
        <f t="shared" si="144"/>
        <v>-0.0000003736024666</v>
      </c>
      <c r="CJ64" s="10">
        <f t="shared" si="144"/>
        <v>-0.0000003736024666</v>
      </c>
    </row>
    <row r="65">
      <c r="A65" s="34">
        <f t="shared" si="99"/>
        <v>15</v>
      </c>
      <c r="B65" s="15">
        <v>0.0</v>
      </c>
      <c r="M65" s="66">
        <f t="shared" si="133"/>
        <v>0</v>
      </c>
      <c r="N65" s="66">
        <f t="shared" ref="N65:T65" si="145">E$51*$B65</f>
        <v>0</v>
      </c>
      <c r="O65" s="66">
        <f t="shared" si="145"/>
        <v>0</v>
      </c>
      <c r="P65" s="66">
        <f t="shared" si="145"/>
        <v>0</v>
      </c>
      <c r="Q65" s="66">
        <f t="shared" si="145"/>
        <v>0</v>
      </c>
      <c r="R65" s="66">
        <f t="shared" si="145"/>
        <v>0</v>
      </c>
      <c r="S65" s="66">
        <f t="shared" si="145"/>
        <v>0</v>
      </c>
      <c r="T65" s="66">
        <f t="shared" si="145"/>
        <v>0</v>
      </c>
      <c r="V65" s="37">
        <v>8.4295</v>
      </c>
      <c r="W65" s="37">
        <v>8.4295</v>
      </c>
      <c r="X65" s="37">
        <v>8.4295</v>
      </c>
      <c r="Y65" s="37">
        <v>8.4295</v>
      </c>
      <c r="Z65" s="37">
        <v>8.4295</v>
      </c>
      <c r="AA65" s="37">
        <v>8.4295</v>
      </c>
      <c r="AB65" s="37">
        <v>8.4295</v>
      </c>
      <c r="AC65" s="37">
        <v>8.4295</v>
      </c>
      <c r="AE65" s="34">
        <f t="shared" ref="AE65:AL65" si="146">if(V65&gt;0,1,0)</f>
        <v>1</v>
      </c>
      <c r="AF65" s="34">
        <f t="shared" si="146"/>
        <v>1</v>
      </c>
      <c r="AG65" s="34">
        <f t="shared" si="146"/>
        <v>1</v>
      </c>
      <c r="AH65" s="34">
        <f t="shared" si="146"/>
        <v>1</v>
      </c>
      <c r="AI65" s="34">
        <f t="shared" si="146"/>
        <v>1</v>
      </c>
      <c r="AJ65" s="34">
        <f t="shared" si="146"/>
        <v>1</v>
      </c>
      <c r="AK65" s="34">
        <f t="shared" si="146"/>
        <v>1</v>
      </c>
      <c r="AL65" s="34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0">
        <f t="shared" ref="AW65:BD65" si="148">AW52-CC65</f>
        <v>0.7500003736</v>
      </c>
      <c r="AX65" s="70">
        <f t="shared" si="148"/>
        <v>0.7500003736</v>
      </c>
      <c r="AY65" s="70">
        <f t="shared" si="148"/>
        <v>0.7500003736</v>
      </c>
      <c r="AZ65" s="70">
        <f t="shared" si="148"/>
        <v>0.7500003736</v>
      </c>
      <c r="BA65" s="70">
        <f t="shared" si="148"/>
        <v>0.7500003736</v>
      </c>
      <c r="BB65" s="70">
        <f t="shared" si="148"/>
        <v>0.7500003736</v>
      </c>
      <c r="BC65" s="70">
        <f t="shared" si="148"/>
        <v>0.7500003736</v>
      </c>
      <c r="BD65" s="70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4">
        <v>2.7265</v>
      </c>
      <c r="BP65" s="34">
        <v>2.7265</v>
      </c>
      <c r="BQ65" s="34">
        <v>2.7265</v>
      </c>
      <c r="BR65" s="34">
        <v>2.7265</v>
      </c>
      <c r="BT65" s="34">
        <v>0.0</v>
      </c>
      <c r="BU65" s="34">
        <v>0.0</v>
      </c>
      <c r="BV65" s="34">
        <v>0.0</v>
      </c>
      <c r="BW65" s="34">
        <v>0.0</v>
      </c>
      <c r="BX65" s="34">
        <v>0.0</v>
      </c>
      <c r="BY65" s="34">
        <v>0.0</v>
      </c>
      <c r="BZ65" s="34">
        <v>0.0</v>
      </c>
      <c r="CA65" s="34">
        <v>0.0</v>
      </c>
      <c r="CC65" s="10">
        <f t="shared" ref="CC65:CJ65" si="149">CC58*$CD$62</f>
        <v>-0.0000003736024666</v>
      </c>
      <c r="CD65" s="10">
        <f t="shared" si="149"/>
        <v>-0.0000003736024666</v>
      </c>
      <c r="CE65" s="10">
        <f t="shared" si="149"/>
        <v>-0.0000003736024666</v>
      </c>
      <c r="CF65" s="10">
        <f t="shared" si="149"/>
        <v>-0.0000003736024666</v>
      </c>
      <c r="CG65" s="10">
        <f t="shared" si="149"/>
        <v>-0.0000003736024666</v>
      </c>
      <c r="CH65" s="10">
        <f t="shared" si="149"/>
        <v>-0.0000003736024666</v>
      </c>
      <c r="CI65" s="10">
        <f t="shared" si="149"/>
        <v>-0.0000003736024666</v>
      </c>
      <c r="CJ65" s="10">
        <f t="shared" si="149"/>
        <v>-0.0000003736024666</v>
      </c>
    </row>
    <row r="66">
      <c r="A66" s="34">
        <f t="shared" si="99"/>
        <v>16</v>
      </c>
      <c r="B66" s="15">
        <v>-0.018673078378792285</v>
      </c>
      <c r="M66" s="66">
        <f t="shared" si="133"/>
        <v>-0.01400480878</v>
      </c>
      <c r="N66" s="66">
        <f t="shared" ref="N66:T66" si="150">E$51*$B66</f>
        <v>-0.01400480878</v>
      </c>
      <c r="O66" s="66">
        <f t="shared" si="150"/>
        <v>-0.01400480878</v>
      </c>
      <c r="P66" s="66">
        <f t="shared" si="150"/>
        <v>-0.01400480878</v>
      </c>
      <c r="Q66" s="66">
        <f t="shared" si="150"/>
        <v>-0.01400480878</v>
      </c>
      <c r="R66" s="66">
        <f t="shared" si="150"/>
        <v>-0.01400480878</v>
      </c>
      <c r="S66" s="66">
        <f t="shared" si="150"/>
        <v>-0.01400480878</v>
      </c>
      <c r="T66" s="66">
        <f t="shared" si="150"/>
        <v>-0.01400480878</v>
      </c>
      <c r="V66" s="37">
        <v>0.25</v>
      </c>
      <c r="W66" s="37">
        <v>0.25</v>
      </c>
      <c r="X66" s="37">
        <v>0.25</v>
      </c>
      <c r="Y66" s="37">
        <v>0.25</v>
      </c>
      <c r="Z66" s="37">
        <v>0.25</v>
      </c>
      <c r="AA66" s="37">
        <v>0.25</v>
      </c>
      <c r="AB66" s="37">
        <v>0.25</v>
      </c>
      <c r="AC66" s="37">
        <v>0.25</v>
      </c>
      <c r="AE66" s="34">
        <f t="shared" ref="AE66:AL66" si="151">if(V66&gt;0,1,0)</f>
        <v>1</v>
      </c>
      <c r="AF66" s="34">
        <f t="shared" si="151"/>
        <v>1</v>
      </c>
      <c r="AG66" s="34">
        <f t="shared" si="151"/>
        <v>1</v>
      </c>
      <c r="AH66" s="34">
        <f t="shared" si="151"/>
        <v>1</v>
      </c>
      <c r="AI66" s="34">
        <f t="shared" si="151"/>
        <v>1</v>
      </c>
      <c r="AJ66" s="34">
        <f t="shared" si="151"/>
        <v>1</v>
      </c>
      <c r="AK66" s="34">
        <f t="shared" si="151"/>
        <v>1</v>
      </c>
      <c r="AL66" s="34">
        <f t="shared" si="151"/>
        <v>1</v>
      </c>
      <c r="AM66" s="67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0">
        <f t="shared" ref="AW66:BD66" si="153">AW53-CC66</f>
        <v>0.7500003736</v>
      </c>
      <c r="AX66" s="70">
        <f t="shared" si="153"/>
        <v>0.7500003736</v>
      </c>
      <c r="AY66" s="70">
        <f t="shared" si="153"/>
        <v>0.7500003736</v>
      </c>
      <c r="AZ66" s="70">
        <f t="shared" si="153"/>
        <v>0.7500003736</v>
      </c>
      <c r="BA66" s="70">
        <f t="shared" si="153"/>
        <v>0.7500003736</v>
      </c>
      <c r="BB66" s="70">
        <f t="shared" si="153"/>
        <v>0.7500003736</v>
      </c>
      <c r="BC66" s="70">
        <f t="shared" si="153"/>
        <v>0.7500003736</v>
      </c>
      <c r="BD66" s="70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4">
        <v>0.0</v>
      </c>
      <c r="BP66" s="34">
        <v>0.0</v>
      </c>
      <c r="BQ66" s="34">
        <v>0.0</v>
      </c>
      <c r="BR66" s="34">
        <v>0.0</v>
      </c>
      <c r="BT66" s="34">
        <v>0.08059211010589715</v>
      </c>
      <c r="BU66" s="34">
        <v>0.08059211010589715</v>
      </c>
      <c r="BV66" s="34">
        <v>0.08059211010589715</v>
      </c>
      <c r="BW66" s="34">
        <v>0.08059211010589715</v>
      </c>
      <c r="BX66" s="34">
        <v>0.08059211010589715</v>
      </c>
      <c r="BY66" s="34">
        <v>0.08059211010589715</v>
      </c>
      <c r="BZ66" s="34">
        <v>0.08059211010589715</v>
      </c>
      <c r="CA66" s="34">
        <v>0.08059211010589715</v>
      </c>
      <c r="CC66" s="10">
        <f t="shared" ref="CC66:CJ66" si="154">CC59*$CD$62</f>
        <v>-0.0000003736024666</v>
      </c>
      <c r="CD66" s="10">
        <f t="shared" si="154"/>
        <v>-0.0000003736024666</v>
      </c>
      <c r="CE66" s="10">
        <f t="shared" si="154"/>
        <v>-0.0000003736024666</v>
      </c>
      <c r="CF66" s="10">
        <f t="shared" si="154"/>
        <v>-0.0000003736024666</v>
      </c>
      <c r="CG66" s="10">
        <f t="shared" si="154"/>
        <v>-0.0000003736024666</v>
      </c>
      <c r="CH66" s="10">
        <f t="shared" si="154"/>
        <v>-0.0000003736024666</v>
      </c>
      <c r="CI66" s="10">
        <f t="shared" si="154"/>
        <v>-0.0000003736024666</v>
      </c>
      <c r="CJ66" s="10">
        <f t="shared" si="154"/>
        <v>-0.0000003736024666</v>
      </c>
    </row>
    <row r="67">
      <c r="A67" s="34">
        <f t="shared" si="99"/>
        <v>17</v>
      </c>
      <c r="B67" s="15">
        <v>-8.369577992005443E-13</v>
      </c>
      <c r="M67" s="66">
        <f t="shared" si="133"/>
        <v>0</v>
      </c>
      <c r="N67" s="66">
        <f t="shared" ref="N67:T67" si="155">E$51*$B67</f>
        <v>0</v>
      </c>
      <c r="O67" s="66">
        <f t="shared" si="155"/>
        <v>0</v>
      </c>
      <c r="P67" s="66">
        <f t="shared" si="155"/>
        <v>0</v>
      </c>
      <c r="Q67" s="66">
        <f t="shared" si="155"/>
        <v>0</v>
      </c>
      <c r="R67" s="66">
        <f t="shared" si="155"/>
        <v>0</v>
      </c>
      <c r="S67" s="66">
        <f t="shared" si="155"/>
        <v>0</v>
      </c>
      <c r="T67" s="66">
        <f t="shared" si="155"/>
        <v>0</v>
      </c>
      <c r="V67" s="37">
        <v>2.2757500000000004</v>
      </c>
      <c r="W67" s="37">
        <v>2.2757500000000004</v>
      </c>
      <c r="X67" s="37">
        <v>2.2757500000000004</v>
      </c>
      <c r="Y67" s="37">
        <v>2.2757500000000004</v>
      </c>
      <c r="Z67" s="37">
        <v>2.2757500000000004</v>
      </c>
      <c r="AA67" s="37">
        <v>2.2757500000000004</v>
      </c>
      <c r="AB67" s="37">
        <v>2.2757500000000004</v>
      </c>
      <c r="AC67" s="37">
        <v>2.2757500000000004</v>
      </c>
      <c r="AE67" s="34">
        <f t="shared" ref="AE67:AL67" si="156">if(V67&gt;0,1,0)</f>
        <v>1</v>
      </c>
      <c r="AF67" s="34">
        <f t="shared" si="156"/>
        <v>1</v>
      </c>
      <c r="AG67" s="34">
        <f t="shared" si="156"/>
        <v>1</v>
      </c>
      <c r="AH67" s="34">
        <f t="shared" si="156"/>
        <v>1</v>
      </c>
      <c r="AI67" s="34">
        <f t="shared" si="156"/>
        <v>1</v>
      </c>
      <c r="AJ67" s="34">
        <f t="shared" si="156"/>
        <v>1</v>
      </c>
      <c r="AK67" s="34">
        <f t="shared" si="156"/>
        <v>1</v>
      </c>
      <c r="AL67" s="34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0">
        <f t="shared" ref="AW67:BD67" si="158">AW54-CC67</f>
        <v>0.7500003736</v>
      </c>
      <c r="AX67" s="70">
        <f t="shared" si="158"/>
        <v>0.7500003736</v>
      </c>
      <c r="AY67" s="70">
        <f t="shared" si="158"/>
        <v>0.7500003736</v>
      </c>
      <c r="AZ67" s="70">
        <f t="shared" si="158"/>
        <v>0.7500003736</v>
      </c>
      <c r="BA67" s="70">
        <f t="shared" si="158"/>
        <v>0.7500003736</v>
      </c>
      <c r="BB67" s="70">
        <f t="shared" si="158"/>
        <v>0.7500003736</v>
      </c>
      <c r="BC67" s="70">
        <f t="shared" si="158"/>
        <v>0.7500003736</v>
      </c>
      <c r="BD67" s="70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4">
        <v>0.6752500000000001</v>
      </c>
      <c r="BP67" s="34">
        <v>0.6752500000000001</v>
      </c>
      <c r="BQ67" s="34">
        <v>0.6752500000000001</v>
      </c>
      <c r="BR67" s="34">
        <v>0.6752500000000001</v>
      </c>
      <c r="BT67" s="34">
        <v>0.0</v>
      </c>
      <c r="BU67" s="34">
        <v>0.0</v>
      </c>
      <c r="BV67" s="34">
        <v>0.0</v>
      </c>
      <c r="BW67" s="34">
        <v>0.0</v>
      </c>
      <c r="BX67" s="34">
        <v>0.0</v>
      </c>
      <c r="BY67" s="34">
        <v>0.0</v>
      </c>
      <c r="BZ67" s="34">
        <v>0.0</v>
      </c>
      <c r="CA67" s="34">
        <v>0.0</v>
      </c>
      <c r="CC67" s="10">
        <f t="shared" ref="CC67:CJ67" si="159">CC60*$CD$62</f>
        <v>-0.0000003736024666</v>
      </c>
      <c r="CD67" s="10">
        <f t="shared" si="159"/>
        <v>-0.0000003736024666</v>
      </c>
      <c r="CE67" s="10">
        <f t="shared" si="159"/>
        <v>-0.0000003736024666</v>
      </c>
      <c r="CF67" s="10">
        <f t="shared" si="159"/>
        <v>-0.0000003736024666</v>
      </c>
      <c r="CG67" s="10">
        <f t="shared" si="159"/>
        <v>-0.0000003736024666</v>
      </c>
      <c r="CH67" s="10">
        <f t="shared" si="159"/>
        <v>-0.0000003736024666</v>
      </c>
      <c r="CI67" s="10">
        <f t="shared" si="159"/>
        <v>-0.0000003736024666</v>
      </c>
      <c r="CJ67" s="10">
        <f t="shared" si="159"/>
        <v>-0.0000003736024666</v>
      </c>
    </row>
    <row r="68">
      <c r="A68" s="34">
        <f t="shared" si="99"/>
        <v>18</v>
      </c>
      <c r="B68" s="15">
        <v>-4.275850867060395E-4</v>
      </c>
      <c r="M68" s="66">
        <f t="shared" si="133"/>
        <v>-0.000320688815</v>
      </c>
      <c r="N68" s="66">
        <f t="shared" ref="N68:T68" si="160">E$51*$B68</f>
        <v>-0.000320688815</v>
      </c>
      <c r="O68" s="66">
        <f t="shared" si="160"/>
        <v>-0.000320688815</v>
      </c>
      <c r="P68" s="66">
        <f t="shared" si="160"/>
        <v>-0.000320688815</v>
      </c>
      <c r="Q68" s="66">
        <f t="shared" si="160"/>
        <v>-0.000320688815</v>
      </c>
      <c r="R68" s="66">
        <f t="shared" si="160"/>
        <v>-0.000320688815</v>
      </c>
      <c r="S68" s="66">
        <f t="shared" si="160"/>
        <v>-0.000320688815</v>
      </c>
      <c r="T68" s="66">
        <f t="shared" si="160"/>
        <v>-0.000320688815</v>
      </c>
      <c r="V68" s="37">
        <v>0.5995000000000008</v>
      </c>
      <c r="W68" s="37">
        <v>0.5995000000000008</v>
      </c>
      <c r="X68" s="37">
        <v>0.5995000000000008</v>
      </c>
      <c r="Y68" s="37">
        <v>0.5995000000000008</v>
      </c>
      <c r="Z68" s="37">
        <v>0.5995000000000008</v>
      </c>
      <c r="AA68" s="37">
        <v>0.5995000000000008</v>
      </c>
      <c r="AB68" s="37">
        <v>0.5995000000000008</v>
      </c>
      <c r="AC68" s="37">
        <v>0.5995000000000008</v>
      </c>
      <c r="AE68" s="34">
        <f t="shared" ref="AE68:AL68" si="161">if(V68&gt;0,1,0)</f>
        <v>1</v>
      </c>
      <c r="AF68" s="34">
        <f t="shared" si="161"/>
        <v>1</v>
      </c>
      <c r="AG68" s="34">
        <f t="shared" si="161"/>
        <v>1</v>
      </c>
      <c r="AH68" s="34">
        <f t="shared" si="161"/>
        <v>1</v>
      </c>
      <c r="AI68" s="34">
        <f t="shared" si="161"/>
        <v>1</v>
      </c>
      <c r="AJ68" s="34">
        <f t="shared" si="161"/>
        <v>1</v>
      </c>
      <c r="AK68" s="34">
        <f t="shared" si="161"/>
        <v>1</v>
      </c>
      <c r="AL68" s="34">
        <f t="shared" si="161"/>
        <v>1</v>
      </c>
      <c r="AM68" s="67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4">
        <v>0.11650000000000027</v>
      </c>
      <c r="BP68" s="34">
        <v>0.11650000000000027</v>
      </c>
      <c r="BQ68" s="34">
        <v>0.11650000000000027</v>
      </c>
      <c r="BR68" s="34">
        <v>0.11650000000000027</v>
      </c>
      <c r="BT68" s="34">
        <v>-4.419037153645929E-13</v>
      </c>
      <c r="BU68" s="34">
        <v>-4.419037153645929E-13</v>
      </c>
      <c r="BV68" s="34">
        <v>-4.419037153645929E-13</v>
      </c>
      <c r="BW68" s="34">
        <v>-4.419037153645929E-13</v>
      </c>
      <c r="BX68" s="34">
        <v>-4.419037153645929E-13</v>
      </c>
      <c r="BY68" s="34">
        <v>-4.419037153645929E-13</v>
      </c>
      <c r="BZ68" s="34">
        <v>-4.419037153645929E-13</v>
      </c>
      <c r="CA68" s="34">
        <v>-4.419037153645929E-13</v>
      </c>
    </row>
    <row r="69">
      <c r="A69" s="34">
        <f t="shared" si="99"/>
        <v>19</v>
      </c>
      <c r="B69" s="15">
        <v>0.0</v>
      </c>
      <c r="M69" s="66">
        <f t="shared" si="133"/>
        <v>0</v>
      </c>
      <c r="N69" s="66">
        <f t="shared" ref="N69:T69" si="163">E$51*$B69</f>
        <v>0</v>
      </c>
      <c r="O69" s="66">
        <f t="shared" si="163"/>
        <v>0</v>
      </c>
      <c r="P69" s="66">
        <f t="shared" si="163"/>
        <v>0</v>
      </c>
      <c r="Q69" s="66">
        <f t="shared" si="163"/>
        <v>0</v>
      </c>
      <c r="R69" s="66">
        <f t="shared" si="163"/>
        <v>0</v>
      </c>
      <c r="S69" s="66">
        <f t="shared" si="163"/>
        <v>0</v>
      </c>
      <c r="T69" s="66">
        <f t="shared" si="163"/>
        <v>0</v>
      </c>
      <c r="V69" s="37">
        <v>8.285499999999999</v>
      </c>
      <c r="W69" s="37">
        <v>8.285499999999999</v>
      </c>
      <c r="X69" s="37">
        <v>8.285499999999999</v>
      </c>
      <c r="Y69" s="37">
        <v>8.285499999999999</v>
      </c>
      <c r="Z69" s="37">
        <v>8.285499999999999</v>
      </c>
      <c r="AA69" s="37">
        <v>8.285499999999999</v>
      </c>
      <c r="AB69" s="37">
        <v>8.285499999999999</v>
      </c>
      <c r="AC69" s="37">
        <v>8.285499999999999</v>
      </c>
      <c r="AE69" s="34">
        <f t="shared" ref="AE69:AL69" si="164">if(V69&gt;0,1,0)</f>
        <v>1</v>
      </c>
      <c r="AF69" s="34">
        <f t="shared" si="164"/>
        <v>1</v>
      </c>
      <c r="AG69" s="34">
        <f t="shared" si="164"/>
        <v>1</v>
      </c>
      <c r="AH69" s="34">
        <f t="shared" si="164"/>
        <v>1</v>
      </c>
      <c r="AI69" s="34">
        <f t="shared" si="164"/>
        <v>1</v>
      </c>
      <c r="AJ69" s="34">
        <f t="shared" si="164"/>
        <v>1</v>
      </c>
      <c r="AK69" s="34">
        <f t="shared" si="164"/>
        <v>1</v>
      </c>
      <c r="AL69" s="34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4">
        <v>2.6784999999999997</v>
      </c>
      <c r="BP69" s="34">
        <v>2.6784999999999997</v>
      </c>
      <c r="BQ69" s="34">
        <v>2.6784999999999997</v>
      </c>
      <c r="BR69" s="34">
        <v>2.6784999999999997</v>
      </c>
      <c r="BT69" s="34">
        <v>-0.014004808784094214</v>
      </c>
      <c r="BU69" s="34">
        <v>-0.014004808784094214</v>
      </c>
      <c r="BV69" s="34">
        <v>-0.014004808784094214</v>
      </c>
      <c r="BW69" s="34">
        <v>-0.014004808784094214</v>
      </c>
      <c r="BX69" s="34">
        <v>-0.014004808784094214</v>
      </c>
      <c r="BY69" s="34">
        <v>-0.014004808784094214</v>
      </c>
      <c r="BZ69" s="34">
        <v>-0.014004808784094214</v>
      </c>
      <c r="CA69" s="34">
        <v>-0.014004808784094214</v>
      </c>
    </row>
    <row r="70">
      <c r="A70" s="34">
        <f t="shared" si="99"/>
        <v>20</v>
      </c>
      <c r="B70" s="15">
        <v>0.0</v>
      </c>
      <c r="M70" s="66">
        <f t="shared" si="133"/>
        <v>0</v>
      </c>
      <c r="N70" s="66">
        <f t="shared" ref="N70:T70" si="166">E$51*$B70</f>
        <v>0</v>
      </c>
      <c r="O70" s="66">
        <f t="shared" si="166"/>
        <v>0</v>
      </c>
      <c r="P70" s="66">
        <f t="shared" si="166"/>
        <v>0</v>
      </c>
      <c r="Q70" s="66">
        <f t="shared" si="166"/>
        <v>0</v>
      </c>
      <c r="R70" s="66">
        <f t="shared" si="166"/>
        <v>0</v>
      </c>
      <c r="S70" s="66">
        <f t="shared" si="166"/>
        <v>0</v>
      </c>
      <c r="T70" s="66">
        <f t="shared" si="166"/>
        <v>0</v>
      </c>
      <c r="V70" s="37">
        <v>13.65175</v>
      </c>
      <c r="W70" s="37">
        <v>13.65175</v>
      </c>
      <c r="X70" s="37">
        <v>13.65175</v>
      </c>
      <c r="Y70" s="37">
        <v>13.65175</v>
      </c>
      <c r="Z70" s="37">
        <v>13.65175</v>
      </c>
      <c r="AA70" s="37">
        <v>13.65175</v>
      </c>
      <c r="AB70" s="37">
        <v>13.65175</v>
      </c>
      <c r="AC70" s="37">
        <v>13.65175</v>
      </c>
      <c r="AE70" s="34">
        <f t="shared" ref="AE70:AL70" si="167">if(V70&gt;0,1,0)</f>
        <v>1</v>
      </c>
      <c r="AF70" s="34">
        <f t="shared" si="167"/>
        <v>1</v>
      </c>
      <c r="AG70" s="34">
        <f t="shared" si="167"/>
        <v>1</v>
      </c>
      <c r="AH70" s="34">
        <f t="shared" si="167"/>
        <v>1</v>
      </c>
      <c r="AI70" s="34">
        <f t="shared" si="167"/>
        <v>1</v>
      </c>
      <c r="AJ70" s="34">
        <f t="shared" si="167"/>
        <v>1</v>
      </c>
      <c r="AK70" s="34">
        <f t="shared" si="167"/>
        <v>1</v>
      </c>
      <c r="AL70" s="34">
        <f t="shared" si="167"/>
        <v>1</v>
      </c>
      <c r="AM70" s="67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4">
        <v>4.46725</v>
      </c>
      <c r="BP70" s="34">
        <v>4.46725</v>
      </c>
      <c r="BQ70" s="34">
        <v>4.46725</v>
      </c>
      <c r="BR70" s="34">
        <v>4.46725</v>
      </c>
      <c r="BT70" s="34">
        <v>-0.014004808784094214</v>
      </c>
      <c r="BU70" s="34">
        <v>-0.014004808784094214</v>
      </c>
      <c r="BV70" s="34">
        <v>-0.014004808784094214</v>
      </c>
      <c r="BW70" s="34">
        <v>-0.014004808784094214</v>
      </c>
      <c r="BX70" s="34">
        <v>-0.014004808784094214</v>
      </c>
      <c r="BY70" s="34">
        <v>-0.014004808784094214</v>
      </c>
      <c r="BZ70" s="34">
        <v>-0.014004808784094214</v>
      </c>
      <c r="CA70" s="34">
        <v>-0.014004808784094214</v>
      </c>
    </row>
    <row r="71">
      <c r="B71" s="13"/>
      <c r="C71" s="13"/>
      <c r="AW71" s="16"/>
      <c r="BT71" s="34">
        <v>0.0</v>
      </c>
      <c r="BU71" s="34">
        <v>0.0</v>
      </c>
      <c r="BV71" s="34">
        <v>0.0</v>
      </c>
      <c r="BW71" s="34">
        <v>0.0</v>
      </c>
      <c r="BX71" s="34">
        <v>0.0</v>
      </c>
      <c r="BY71" s="34">
        <v>0.0</v>
      </c>
      <c r="BZ71" s="34">
        <v>0.0</v>
      </c>
      <c r="CA71" s="34">
        <v>0.0</v>
      </c>
    </row>
    <row r="72">
      <c r="BT72" s="34">
        <v>-0.014004808784094214</v>
      </c>
      <c r="BU72" s="34">
        <v>-0.014004808784094214</v>
      </c>
      <c r="BV72" s="34">
        <v>-0.014004808784094214</v>
      </c>
      <c r="BW72" s="34">
        <v>-0.014004808784094214</v>
      </c>
      <c r="BX72" s="34">
        <v>-0.014004808784094214</v>
      </c>
      <c r="BY72" s="34">
        <v>-0.014004808784094214</v>
      </c>
      <c r="BZ72" s="34">
        <v>-0.014004808784094214</v>
      </c>
      <c r="CA72" s="34">
        <v>-0.014004808784094214</v>
      </c>
    </row>
    <row r="73">
      <c r="BT73" s="34">
        <v>-6.277183494004083E-13</v>
      </c>
      <c r="BU73" s="34">
        <v>-6.277183494004083E-13</v>
      </c>
      <c r="BV73" s="34">
        <v>-6.277183494004083E-13</v>
      </c>
      <c r="BW73" s="34">
        <v>-6.277183494004083E-13</v>
      </c>
      <c r="BX73" s="34">
        <v>-6.277183494004083E-13</v>
      </c>
      <c r="BY73" s="34">
        <v>-6.277183494004083E-13</v>
      </c>
      <c r="BZ73" s="34">
        <v>-6.277183494004083E-13</v>
      </c>
      <c r="CA73" s="34">
        <v>-6.277183494004083E-13</v>
      </c>
    </row>
    <row r="74">
      <c r="BT74" s="34">
        <v>-3.206888150295296E-4</v>
      </c>
      <c r="BU74" s="34">
        <v>-3.206888150295296E-4</v>
      </c>
      <c r="BV74" s="34">
        <v>-3.206888150295296E-4</v>
      </c>
      <c r="BW74" s="34">
        <v>-3.206888150295296E-4</v>
      </c>
      <c r="BX74" s="34">
        <v>-3.206888150295296E-4</v>
      </c>
      <c r="BY74" s="34">
        <v>-3.206888150295296E-4</v>
      </c>
      <c r="BZ74" s="34">
        <v>-3.206888150295296E-4</v>
      </c>
      <c r="CA74" s="34">
        <v>-3.206888150295296E-4</v>
      </c>
    </row>
    <row r="75">
      <c r="BT75" s="34">
        <v>0.0</v>
      </c>
      <c r="BU75" s="34">
        <v>0.0</v>
      </c>
      <c r="BV75" s="34">
        <v>0.0</v>
      </c>
      <c r="BW75" s="34">
        <v>0.0</v>
      </c>
      <c r="BX75" s="34">
        <v>0.0</v>
      </c>
      <c r="BY75" s="34">
        <v>0.0</v>
      </c>
      <c r="BZ75" s="34">
        <v>0.0</v>
      </c>
      <c r="CA75" s="34">
        <v>0.0</v>
      </c>
    </row>
    <row r="76">
      <c r="BT76" s="34">
        <v>0.0</v>
      </c>
      <c r="BU76" s="34">
        <v>0.0</v>
      </c>
      <c r="BV76" s="34">
        <v>0.0</v>
      </c>
      <c r="BW76" s="34">
        <v>0.0</v>
      </c>
      <c r="BX76" s="34">
        <v>0.0</v>
      </c>
      <c r="BY76" s="34">
        <v>0.0</v>
      </c>
      <c r="BZ76" s="34">
        <v>0.0</v>
      </c>
      <c r="CA76" s="34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24</v>
      </c>
      <c r="C83" s="13"/>
      <c r="K83" s="7" t="s">
        <v>38</v>
      </c>
      <c r="P83" s="7" t="s">
        <v>39</v>
      </c>
      <c r="U83" s="7" t="s">
        <v>8</v>
      </c>
      <c r="V83" s="7" t="s">
        <v>14</v>
      </c>
      <c r="Z83" s="7" t="s">
        <v>40</v>
      </c>
      <c r="AE83" s="7" t="s">
        <v>24</v>
      </c>
      <c r="AK83" s="5"/>
      <c r="AL83" s="5"/>
      <c r="AM83" s="5"/>
      <c r="AN83" s="5"/>
      <c r="AQ83" s="7" t="s">
        <v>36</v>
      </c>
      <c r="AU83" s="7" t="s">
        <v>41</v>
      </c>
      <c r="AW83" s="16"/>
      <c r="AZ83" s="7" t="s">
        <v>42</v>
      </c>
      <c r="BC83" s="7" t="s">
        <v>43</v>
      </c>
    </row>
    <row r="84">
      <c r="A84" s="7">
        <v>1.0</v>
      </c>
      <c r="B84" s="71">
        <v>0.0</v>
      </c>
      <c r="C84" s="71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4">
        <f t="shared" ref="P84:S84" si="169">$B84*K$84+$C84*K$85+$D84*K$86+$E84*K$87+$F84*K$88+$G84*K$89+$H84*K$90+$I84*K$91</f>
        <v>0</v>
      </c>
      <c r="Q84" s="34">
        <f t="shared" si="169"/>
        <v>0</v>
      </c>
      <c r="R84" s="34">
        <f t="shared" si="169"/>
        <v>0</v>
      </c>
      <c r="S84" s="34">
        <f t="shared" si="169"/>
        <v>0</v>
      </c>
      <c r="U84" s="34">
        <v>2.595249999999999</v>
      </c>
      <c r="V84" s="34">
        <v>2.595249999999999</v>
      </c>
      <c r="W84" s="34">
        <v>2.595249999999999</v>
      </c>
      <c r="X84" s="34">
        <v>2.595249999999999</v>
      </c>
      <c r="Z84" s="34">
        <f t="shared" ref="Z84:AC84" si="170">IF(U84&gt;0,1,0)</f>
        <v>1</v>
      </c>
      <c r="AA84" s="34">
        <f t="shared" si="170"/>
        <v>1</v>
      </c>
      <c r="AB84" s="34">
        <f t="shared" si="170"/>
        <v>1</v>
      </c>
      <c r="AC84" s="34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4">
        <f t="shared" ref="AU84:AX84" si="172">AVERAGE(AE84:AE103)</f>
        <v>-0.00009620664462</v>
      </c>
      <c r="AV84" s="34">
        <f t="shared" si="172"/>
        <v>-0.00009620664462</v>
      </c>
      <c r="AW84" s="34">
        <f t="shared" si="172"/>
        <v>-0.00009620664462</v>
      </c>
      <c r="AX84" s="34">
        <f t="shared" si="172"/>
        <v>-0.00009620664462</v>
      </c>
      <c r="AZ84" s="18">
        <v>-2.848</v>
      </c>
      <c r="BA84" s="19">
        <v>5.975</v>
      </c>
      <c r="BC84" s="18">
        <v>-2.848</v>
      </c>
      <c r="BD84" s="18">
        <v>-10.429</v>
      </c>
      <c r="BE84" s="18">
        <v>-1.284</v>
      </c>
      <c r="BF84" s="18">
        <v>4.758</v>
      </c>
      <c r="BG84" s="46">
        <v>-3.938</v>
      </c>
      <c r="BH84" s="46">
        <v>8.525</v>
      </c>
      <c r="BI84" s="46">
        <v>-13.715</v>
      </c>
      <c r="BJ84" s="46">
        <v>-3.19</v>
      </c>
      <c r="BK84" s="46">
        <v>3.227</v>
      </c>
      <c r="BL84" s="46">
        <v>-5.014</v>
      </c>
      <c r="BM84" s="46">
        <v>0.491</v>
      </c>
      <c r="BN84" s="52">
        <v>-0.54</v>
      </c>
      <c r="BO84" s="52">
        <v>-2.032</v>
      </c>
      <c r="BP84" s="52">
        <v>-1.476</v>
      </c>
      <c r="BQ84" s="52">
        <v>-0.084</v>
      </c>
      <c r="BR84" s="52">
        <v>-1.618</v>
      </c>
      <c r="BS84" s="52">
        <v>2.238</v>
      </c>
      <c r="BT84" s="52">
        <v>-2.102</v>
      </c>
      <c r="BU84" s="52">
        <v>-1.059</v>
      </c>
      <c r="BV84" s="52">
        <v>2.642</v>
      </c>
    </row>
    <row r="85">
      <c r="A85" s="34">
        <f t="shared" ref="A85:A103" si="176">A84+1</f>
        <v>2</v>
      </c>
      <c r="B85" s="71">
        <v>0.08059211010589715</v>
      </c>
      <c r="C85" s="71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4">
        <f t="shared" ref="P85:S85" si="173">$B85*K$84+$C85*K$85+$D85*K$86+$E85*K$87+$F85*K$88+$G85*K$89+$H85*K$90+$I85*K$91</f>
        <v>0.4835526606</v>
      </c>
      <c r="Q85" s="34">
        <f t="shared" si="173"/>
        <v>0.4835526606</v>
      </c>
      <c r="R85" s="34">
        <f t="shared" si="173"/>
        <v>0.4835526606</v>
      </c>
      <c r="S85" s="34">
        <f t="shared" si="173"/>
        <v>0.4835526606</v>
      </c>
      <c r="U85" s="34">
        <v>0.0</v>
      </c>
      <c r="V85" s="34">
        <v>0.0</v>
      </c>
      <c r="W85" s="34">
        <v>0.0</v>
      </c>
      <c r="X85" s="34">
        <v>0.0</v>
      </c>
      <c r="Z85" s="34">
        <f t="shared" ref="Z85:AC85" si="174">IF(U85&gt;0,1,0)</f>
        <v>0</v>
      </c>
      <c r="AA85" s="34">
        <f t="shared" si="174"/>
        <v>0</v>
      </c>
      <c r="AB85" s="34">
        <f t="shared" si="174"/>
        <v>0</v>
      </c>
      <c r="AC85" s="34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18">
        <v>-10.429</v>
      </c>
      <c r="BA85" s="19">
        <v>-8.024</v>
      </c>
      <c r="BC85" s="19">
        <v>5.975</v>
      </c>
      <c r="BD85" s="19">
        <v>-8.024</v>
      </c>
      <c r="BE85" s="19">
        <v>2.872</v>
      </c>
      <c r="BF85" s="19">
        <v>5.955</v>
      </c>
      <c r="BG85" s="47">
        <v>-5.78</v>
      </c>
      <c r="BH85" s="49">
        <v>17.866</v>
      </c>
      <c r="BI85" s="52">
        <v>4.789</v>
      </c>
      <c r="BJ85" s="49">
        <v>13.309</v>
      </c>
      <c r="BK85" s="49">
        <v>18.344</v>
      </c>
      <c r="BL85" s="49">
        <v>-17.507</v>
      </c>
      <c r="BM85" s="52">
        <v>1.897</v>
      </c>
      <c r="BN85" s="52">
        <v>1.12</v>
      </c>
      <c r="BO85" s="52">
        <v>1.092</v>
      </c>
      <c r="BP85" s="52">
        <v>-1.606</v>
      </c>
      <c r="BQ85" s="52">
        <v>3.386</v>
      </c>
      <c r="BR85" s="52">
        <v>1.16</v>
      </c>
      <c r="BS85" s="52">
        <v>-1.671</v>
      </c>
      <c r="BT85" s="52">
        <v>1.924</v>
      </c>
      <c r="BU85" s="52">
        <v>4.297</v>
      </c>
      <c r="BV85" s="52">
        <v>2.981</v>
      </c>
    </row>
    <row r="86">
      <c r="A86" s="34">
        <f t="shared" si="176"/>
        <v>3</v>
      </c>
      <c r="B86" s="71">
        <v>7.084333120119741E-13</v>
      </c>
      <c r="C86" s="71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4">
        <f t="shared" ref="P86:S86" si="177">$B86*K$84+$C86*K$85+$D86*K$86+$E86*K$87+$F86*K$88+$G86*K$89+$H86*K$90+$I86*K$91</f>
        <v>0</v>
      </c>
      <c r="Q86" s="34">
        <f t="shared" si="177"/>
        <v>0</v>
      </c>
      <c r="R86" s="34">
        <f t="shared" si="177"/>
        <v>0</v>
      </c>
      <c r="S86" s="34">
        <f t="shared" si="177"/>
        <v>0</v>
      </c>
      <c r="U86" s="34">
        <v>1.4409999999999998</v>
      </c>
      <c r="V86" s="34">
        <v>1.4409999999999998</v>
      </c>
      <c r="W86" s="34">
        <v>1.4409999999999998</v>
      </c>
      <c r="X86" s="34">
        <v>1.4409999999999998</v>
      </c>
      <c r="Z86" s="34">
        <f t="shared" ref="Z86:AC86" si="178">IF(U86&gt;0,1,0)</f>
        <v>1</v>
      </c>
      <c r="AA86" s="34">
        <f t="shared" si="178"/>
        <v>1</v>
      </c>
      <c r="AB86" s="34">
        <f t="shared" si="178"/>
        <v>1</v>
      </c>
      <c r="AC86" s="34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27</v>
      </c>
      <c r="AW86" s="16"/>
      <c r="AZ86" s="18">
        <v>-1.284</v>
      </c>
      <c r="BA86" s="19">
        <v>2.872</v>
      </c>
    </row>
    <row r="87">
      <c r="A87" s="34">
        <f t="shared" si="176"/>
        <v>4</v>
      </c>
      <c r="B87" s="71">
        <v>0.0</v>
      </c>
      <c r="C87" s="71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4">
        <f t="shared" ref="P87:S87" si="180">$B87*K$84+$C87*K$85+$D87*K$86+$E87*K$87+$F87*K$88+$G87*K$89+$H87*K$90+$I87*K$91</f>
        <v>0</v>
      </c>
      <c r="Q87" s="34">
        <f t="shared" si="180"/>
        <v>0</v>
      </c>
      <c r="R87" s="34">
        <f t="shared" si="180"/>
        <v>0</v>
      </c>
      <c r="S87" s="34">
        <f t="shared" si="180"/>
        <v>0</v>
      </c>
      <c r="U87" s="34">
        <v>8.28475</v>
      </c>
      <c r="V87" s="34">
        <v>8.28475</v>
      </c>
      <c r="W87" s="34">
        <v>8.28475</v>
      </c>
      <c r="X87" s="34">
        <v>8.28475</v>
      </c>
      <c r="Z87" s="34">
        <f t="shared" ref="Z87:AC87" si="181">IF(U87&gt;0,1,0)</f>
        <v>1</v>
      </c>
      <c r="AA87" s="34">
        <f t="shared" si="181"/>
        <v>1</v>
      </c>
      <c r="AB87" s="34">
        <f t="shared" si="181"/>
        <v>1</v>
      </c>
      <c r="AC87" s="34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18">
        <v>4.758</v>
      </c>
      <c r="BA87" s="19">
        <v>5.955</v>
      </c>
    </row>
    <row r="88">
      <c r="A88" s="34">
        <f t="shared" si="176"/>
        <v>5</v>
      </c>
      <c r="B88" s="71">
        <v>0.08059211010589715</v>
      </c>
      <c r="C88" s="71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4">
        <f t="shared" ref="P88:S88" si="183">$B88*K$84+$C88*K$85+$D88*K$86+$E88*K$87+$F88*K$88+$G88*K$89+$H88*K$90+$I88*K$91</f>
        <v>0.4835526606</v>
      </c>
      <c r="Q88" s="34">
        <f t="shared" si="183"/>
        <v>0.4835526606</v>
      </c>
      <c r="R88" s="34">
        <f t="shared" si="183"/>
        <v>0.4835526606</v>
      </c>
      <c r="S88" s="34">
        <f t="shared" si="183"/>
        <v>0.4835526606</v>
      </c>
      <c r="U88" s="34">
        <v>0.0</v>
      </c>
      <c r="V88" s="34">
        <v>0.0</v>
      </c>
      <c r="W88" s="34">
        <v>0.0</v>
      </c>
      <c r="X88" s="34">
        <v>0.0</v>
      </c>
      <c r="Z88" s="34">
        <f t="shared" ref="Z88:AC88" si="184">IF(U88&gt;0,1,0)</f>
        <v>0</v>
      </c>
      <c r="AA88" s="34">
        <f t="shared" si="184"/>
        <v>0</v>
      </c>
      <c r="AB88" s="34">
        <f t="shared" si="184"/>
        <v>0</v>
      </c>
      <c r="AC88" s="34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4">
        <f t="shared" ref="AU88:AX88" si="186">AU84*$AU$86</f>
        <v>-0.0000009620664462</v>
      </c>
      <c r="AV88" s="34">
        <f t="shared" si="186"/>
        <v>-0.0000009620664462</v>
      </c>
      <c r="AW88" s="34">
        <f t="shared" si="186"/>
        <v>-0.0000009620664462</v>
      </c>
      <c r="AX88" s="34">
        <f t="shared" si="186"/>
        <v>-0.0000009620664462</v>
      </c>
      <c r="AZ88" s="46">
        <v>-3.938</v>
      </c>
      <c r="BA88" s="47">
        <v>-5.78</v>
      </c>
      <c r="BG88" s="7" t="s">
        <v>24</v>
      </c>
      <c r="BM88" s="7" t="s">
        <v>44</v>
      </c>
    </row>
    <row r="89">
      <c r="A89" s="34">
        <f t="shared" si="176"/>
        <v>6</v>
      </c>
      <c r="B89" s="71">
        <v>0.0</v>
      </c>
      <c r="C89" s="71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4">
        <f t="shared" ref="P89:S89" si="187">$B89*K$84+$C89*K$85+$D89*K$86+$E89*K$87+$F89*K$88+$G89*K$89+$H89*K$90+$I89*K$91</f>
        <v>0</v>
      </c>
      <c r="Q89" s="34">
        <f t="shared" si="187"/>
        <v>0</v>
      </c>
      <c r="R89" s="34">
        <f t="shared" si="187"/>
        <v>0</v>
      </c>
      <c r="S89" s="34">
        <f t="shared" si="187"/>
        <v>0</v>
      </c>
      <c r="U89" s="34">
        <v>20.04325</v>
      </c>
      <c r="V89" s="34">
        <v>20.04325</v>
      </c>
      <c r="W89" s="34">
        <v>20.04325</v>
      </c>
      <c r="X89" s="34">
        <v>20.04325</v>
      </c>
      <c r="Z89" s="34">
        <f t="shared" ref="Z89:AC89" si="188">IF(U89&gt;0,1,0)</f>
        <v>1</v>
      </c>
      <c r="AA89" s="34">
        <f t="shared" si="188"/>
        <v>1</v>
      </c>
      <c r="AB89" s="34">
        <f t="shared" si="188"/>
        <v>1</v>
      </c>
      <c r="AC89" s="34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6">
        <v>8.525</v>
      </c>
      <c r="BA89" s="49">
        <v>17.866</v>
      </c>
      <c r="BG89" s="34">
        <v>0.0</v>
      </c>
      <c r="BH89" s="34">
        <v>0.0</v>
      </c>
      <c r="BI89" s="34">
        <v>0.0</v>
      </c>
      <c r="BJ89" s="34">
        <v>0.0</v>
      </c>
      <c r="BM89" s="34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4">
        <f t="shared" si="190"/>
        <v>0.004044527323</v>
      </c>
      <c r="BO89" s="34">
        <f t="shared" si="190"/>
        <v>0.004044527323</v>
      </c>
      <c r="BP89" s="34">
        <f t="shared" si="190"/>
        <v>0.004044527323</v>
      </c>
      <c r="BQ89" s="7" t="s">
        <v>14</v>
      </c>
    </row>
    <row r="90">
      <c r="A90" s="34">
        <f t="shared" si="176"/>
        <v>7</v>
      </c>
      <c r="B90" s="71">
        <v>0.08059211010589715</v>
      </c>
      <c r="C90" s="71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4">
        <f t="shared" ref="P90:S90" si="191">$B90*K$84+$C90*K$85+$D90*K$86+$E90*K$87+$F90*K$88+$G90*K$89+$H90*K$90+$I90*K$91</f>
        <v>0.4835526606</v>
      </c>
      <c r="Q90" s="34">
        <f t="shared" si="191"/>
        <v>0.4835526606</v>
      </c>
      <c r="R90" s="34">
        <f t="shared" si="191"/>
        <v>0.4835526606</v>
      </c>
      <c r="S90" s="34">
        <f t="shared" si="191"/>
        <v>0.4835526606</v>
      </c>
      <c r="U90" s="34">
        <v>0.0</v>
      </c>
      <c r="V90" s="34">
        <v>0.0</v>
      </c>
      <c r="W90" s="34">
        <v>0.0</v>
      </c>
      <c r="X90" s="34">
        <v>0.0</v>
      </c>
      <c r="Z90" s="34">
        <f t="shared" ref="Z90:AC90" si="192">IF(U90&gt;0,1,0)</f>
        <v>0</v>
      </c>
      <c r="AA90" s="34">
        <f t="shared" si="192"/>
        <v>0</v>
      </c>
      <c r="AB90" s="34">
        <f t="shared" si="192"/>
        <v>0</v>
      </c>
      <c r="AC90" s="34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6">
        <v>-13.715</v>
      </c>
      <c r="BA90" s="52">
        <v>4.789</v>
      </c>
      <c r="BG90" s="34">
        <v>0.0</v>
      </c>
      <c r="BH90" s="34">
        <v>0.0</v>
      </c>
      <c r="BI90" s="34">
        <v>0.0</v>
      </c>
      <c r="BJ90" s="34">
        <v>0.0</v>
      </c>
      <c r="BM90" s="34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4">
        <f t="shared" si="194"/>
        <v>-0.003702031665</v>
      </c>
      <c r="BO90" s="34">
        <f t="shared" si="194"/>
        <v>-0.003702031665</v>
      </c>
      <c r="BP90" s="34">
        <f t="shared" si="194"/>
        <v>-0.003702031665</v>
      </c>
    </row>
    <row r="91">
      <c r="A91" s="34">
        <f t="shared" si="176"/>
        <v>8</v>
      </c>
      <c r="B91" s="71">
        <v>0.0</v>
      </c>
      <c r="C91" s="71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4">
        <f t="shared" ref="P91:S91" si="195">$B91*K$84+$C91*K$85+$D91*K$86+$E91*K$87+$F91*K$88+$G91*K$89+$H91*K$90+$I91*K$91</f>
        <v>0</v>
      </c>
      <c r="Q91" s="34">
        <f t="shared" si="195"/>
        <v>0</v>
      </c>
      <c r="R91" s="34">
        <f t="shared" si="195"/>
        <v>0</v>
      </c>
      <c r="S91" s="34">
        <f t="shared" si="195"/>
        <v>0</v>
      </c>
      <c r="U91" s="34">
        <v>7.83925</v>
      </c>
      <c r="V91" s="34">
        <v>7.83925</v>
      </c>
      <c r="W91" s="34">
        <v>7.83925</v>
      </c>
      <c r="X91" s="34">
        <v>7.83925</v>
      </c>
      <c r="Z91" s="34">
        <f t="shared" ref="Z91:AC91" si="196">IF(U91&gt;0,1,0)</f>
        <v>1</v>
      </c>
      <c r="AA91" s="34">
        <f t="shared" si="196"/>
        <v>1</v>
      </c>
      <c r="AB91" s="34">
        <f t="shared" si="196"/>
        <v>1</v>
      </c>
      <c r="AC91" s="34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6">
        <v>-3.19</v>
      </c>
      <c r="BA91" s="49">
        <v>13.309</v>
      </c>
      <c r="BG91" s="34">
        <v>4.250599872071845E-12</v>
      </c>
      <c r="BH91" s="34">
        <v>4.250599872071845E-12</v>
      </c>
      <c r="BI91" s="34">
        <v>4.250599872071845E-12</v>
      </c>
      <c r="BJ91" s="34">
        <v>4.250599872071845E-12</v>
      </c>
      <c r="BM91" s="7" t="s">
        <v>14</v>
      </c>
    </row>
    <row r="92">
      <c r="A92" s="34">
        <f t="shared" si="176"/>
        <v>9</v>
      </c>
      <c r="B92" s="71">
        <v>0.0</v>
      </c>
      <c r="C92" s="71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4">
        <f t="shared" ref="P92:S92" si="198">$B92*K$84+$C92*K$85+$D92*K$86+$E92*K$87+$F92*K$88+$G92*K$89+$H92*K$90+$I92*K$91</f>
        <v>0</v>
      </c>
      <c r="Q92" s="34">
        <f t="shared" si="198"/>
        <v>0</v>
      </c>
      <c r="R92" s="34">
        <f t="shared" si="198"/>
        <v>0</v>
      </c>
      <c r="S92" s="34">
        <f t="shared" si="198"/>
        <v>0</v>
      </c>
      <c r="U92" s="34">
        <v>16.428250000000002</v>
      </c>
      <c r="V92" s="34">
        <v>16.428250000000002</v>
      </c>
      <c r="W92" s="34">
        <v>16.428250000000002</v>
      </c>
      <c r="X92" s="34">
        <v>16.428250000000002</v>
      </c>
      <c r="Z92" s="34">
        <f t="shared" ref="Z92:AC92" si="199">IF(U92&gt;0,1,0)</f>
        <v>1</v>
      </c>
      <c r="AA92" s="34">
        <f t="shared" si="199"/>
        <v>1</v>
      </c>
      <c r="AB92" s="34">
        <f t="shared" si="199"/>
        <v>1</v>
      </c>
      <c r="AC92" s="34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25</v>
      </c>
      <c r="AW92" s="16"/>
      <c r="AZ92" s="46">
        <v>3.227</v>
      </c>
      <c r="BA92" s="49">
        <v>18.344</v>
      </c>
      <c r="BG92" s="34">
        <v>0.0</v>
      </c>
      <c r="BH92" s="34">
        <v>0.0</v>
      </c>
      <c r="BI92" s="34">
        <v>0.0</v>
      </c>
      <c r="BJ92" s="34">
        <v>0.0</v>
      </c>
      <c r="BM92" s="7">
        <v>0.01</v>
      </c>
      <c r="BN92" s="7" t="s">
        <v>27</v>
      </c>
    </row>
    <row r="93">
      <c r="A93" s="34">
        <f t="shared" si="176"/>
        <v>10</v>
      </c>
      <c r="B93" s="71">
        <v>0.08059211010589715</v>
      </c>
      <c r="C93" s="71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4">
        <f t="shared" ref="P93:S93" si="201">$B93*K$84+$C93*K$85+$D93*K$86+$E93*K$87+$F93*K$88+$G93*K$89+$H93*K$90+$I93*K$91</f>
        <v>0.4835526606</v>
      </c>
      <c r="Q93" s="34">
        <f t="shared" si="201"/>
        <v>0.4835526606</v>
      </c>
      <c r="R93" s="34">
        <f t="shared" si="201"/>
        <v>0.4835526606</v>
      </c>
      <c r="S93" s="34">
        <f t="shared" si="201"/>
        <v>0.4835526606</v>
      </c>
      <c r="U93" s="34">
        <v>0.0</v>
      </c>
      <c r="V93" s="34">
        <v>0.0</v>
      </c>
      <c r="W93" s="34">
        <v>0.0</v>
      </c>
      <c r="X93" s="34">
        <v>0.0</v>
      </c>
      <c r="Z93" s="34">
        <f t="shared" ref="Z93:AC93" si="202">IF(U93&gt;0,1,0)</f>
        <v>0</v>
      </c>
      <c r="AA93" s="34">
        <f t="shared" si="202"/>
        <v>0</v>
      </c>
      <c r="AB93" s="34">
        <f t="shared" si="202"/>
        <v>0</v>
      </c>
      <c r="AC93" s="34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4">
        <f t="shared" ref="AK93:AN93" si="204">AK84-BM94</f>
        <v>0.7499595547</v>
      </c>
      <c r="AL93" s="34">
        <f t="shared" si="204"/>
        <v>0.7499595547</v>
      </c>
      <c r="AM93" s="34">
        <f t="shared" si="204"/>
        <v>0.7499595547</v>
      </c>
      <c r="AN93" s="34">
        <f t="shared" si="204"/>
        <v>0.7499595547</v>
      </c>
      <c r="AW93" s="16"/>
      <c r="AZ93" s="46">
        <v>-5.014</v>
      </c>
      <c r="BA93" s="49">
        <v>-17.507</v>
      </c>
      <c r="BG93" s="34">
        <v>0.0</v>
      </c>
      <c r="BH93" s="34">
        <v>0.0</v>
      </c>
      <c r="BI93" s="34">
        <v>0.0</v>
      </c>
      <c r="BJ93" s="34">
        <v>0.0</v>
      </c>
    </row>
    <row r="94">
      <c r="A94" s="34">
        <f t="shared" si="176"/>
        <v>11</v>
      </c>
      <c r="B94" s="71">
        <v>0.0</v>
      </c>
      <c r="C94" s="71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4">
        <f t="shared" ref="P94:S94" si="205">$B94*K$84+$C94*K$85+$D94*K$86+$E94*K$87+$F94*K$88+$G94*K$89+$H94*K$90+$I94*K$91</f>
        <v>0</v>
      </c>
      <c r="Q94" s="34">
        <f t="shared" si="205"/>
        <v>0</v>
      </c>
      <c r="R94" s="34">
        <f t="shared" si="205"/>
        <v>0</v>
      </c>
      <c r="S94" s="34">
        <f t="shared" si="205"/>
        <v>0</v>
      </c>
      <c r="U94" s="34">
        <v>2.041</v>
      </c>
      <c r="V94" s="34">
        <v>2.041</v>
      </c>
      <c r="W94" s="34">
        <v>2.041</v>
      </c>
      <c r="X94" s="34">
        <v>2.041</v>
      </c>
      <c r="Z94" s="34">
        <f t="shared" ref="Z94:AC94" si="206">IF(U94&gt;0,1,0)</f>
        <v>1</v>
      </c>
      <c r="AA94" s="34">
        <f t="shared" si="206"/>
        <v>1</v>
      </c>
      <c r="AB94" s="34">
        <f t="shared" si="206"/>
        <v>1</v>
      </c>
      <c r="AC94" s="34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4">
        <f t="shared" ref="AK94:AN94" si="208">AK85-BM95</f>
        <v>0.7500370203</v>
      </c>
      <c r="AL94" s="34">
        <f t="shared" si="208"/>
        <v>0.7500370203</v>
      </c>
      <c r="AM94" s="34">
        <f t="shared" si="208"/>
        <v>0.7500370203</v>
      </c>
      <c r="AN94" s="34">
        <f t="shared" si="208"/>
        <v>0.7500370203</v>
      </c>
      <c r="AW94" s="16"/>
      <c r="AZ94" s="46">
        <v>0.491</v>
      </c>
      <c r="BA94" s="52">
        <v>1.897</v>
      </c>
      <c r="BG94" s="34">
        <v>0.0</v>
      </c>
      <c r="BH94" s="34">
        <v>0.0</v>
      </c>
      <c r="BI94" s="34">
        <v>0.0</v>
      </c>
      <c r="BJ94" s="34">
        <v>0.0</v>
      </c>
      <c r="BM94" s="34">
        <f t="shared" ref="BM94:BP94" si="209">BM89*$BM$92</f>
        <v>0.00004044527323</v>
      </c>
      <c r="BN94" s="34">
        <f t="shared" si="209"/>
        <v>0.00004044527323</v>
      </c>
      <c r="BO94" s="34">
        <f t="shared" si="209"/>
        <v>0.00004044527323</v>
      </c>
      <c r="BP94" s="34">
        <f t="shared" si="209"/>
        <v>0.00004044527323</v>
      </c>
    </row>
    <row r="95">
      <c r="A95" s="34">
        <f t="shared" si="176"/>
        <v>12</v>
      </c>
      <c r="B95" s="71">
        <v>-4.419037153645929E-13</v>
      </c>
      <c r="C95" s="71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4">
        <f t="shared" ref="P95:S95" si="210">$B95*K$84+$C95*K$85+$D95*K$86+$E95*K$87+$F95*K$88+$G95*K$89+$H95*K$90+$I95*K$91</f>
        <v>0</v>
      </c>
      <c r="Q95" s="34">
        <f t="shared" si="210"/>
        <v>0</v>
      </c>
      <c r="R95" s="34">
        <f t="shared" si="210"/>
        <v>0</v>
      </c>
      <c r="S95" s="34">
        <f t="shared" si="210"/>
        <v>0</v>
      </c>
      <c r="U95" s="34">
        <v>0.685</v>
      </c>
      <c r="V95" s="34">
        <v>0.685</v>
      </c>
      <c r="W95" s="34">
        <v>0.685</v>
      </c>
      <c r="X95" s="34">
        <v>0.685</v>
      </c>
      <c r="Z95" s="34">
        <f t="shared" ref="Z95:AC95" si="211">IF(U95&gt;0,1,0)</f>
        <v>1</v>
      </c>
      <c r="AA95" s="34">
        <f t="shared" si="211"/>
        <v>1</v>
      </c>
      <c r="AB95" s="34">
        <f t="shared" si="211"/>
        <v>1</v>
      </c>
      <c r="AC95" s="34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2">
        <v>-0.54</v>
      </c>
      <c r="BA95" s="52">
        <v>1.12</v>
      </c>
      <c r="BG95" s="34">
        <v>0.0</v>
      </c>
      <c r="BH95" s="34">
        <v>0.0</v>
      </c>
      <c r="BI95" s="34">
        <v>0.0</v>
      </c>
      <c r="BJ95" s="34">
        <v>0.0</v>
      </c>
      <c r="BM95" s="34">
        <f t="shared" ref="BM95:BP95" si="213">BM90*$BM$92</f>
        <v>-0.00003702031665</v>
      </c>
      <c r="BN95" s="34">
        <f t="shared" si="213"/>
        <v>-0.00003702031665</v>
      </c>
      <c r="BO95" s="34">
        <f t="shared" si="213"/>
        <v>-0.00003702031665</v>
      </c>
      <c r="BP95" s="34">
        <f t="shared" si="213"/>
        <v>-0.00003702031665</v>
      </c>
    </row>
    <row r="96">
      <c r="A96" s="34">
        <f t="shared" si="176"/>
        <v>13</v>
      </c>
      <c r="B96" s="71">
        <v>-0.014004808784094214</v>
      </c>
      <c r="C96" s="71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4">
        <f t="shared" ref="P96:S96" si="214">$B96*K$84+$C96*K$85+$D96*K$86+$E96*K$87+$F96*K$88+$G96*K$89+$H96*K$90+$I96*K$91</f>
        <v>-0.0840288527</v>
      </c>
      <c r="Q96" s="34">
        <f t="shared" si="214"/>
        <v>-0.0840288527</v>
      </c>
      <c r="R96" s="34">
        <f t="shared" si="214"/>
        <v>-0.0840288527</v>
      </c>
      <c r="S96" s="34">
        <f t="shared" si="214"/>
        <v>-0.0840288527</v>
      </c>
      <c r="U96" s="34">
        <v>0.0</v>
      </c>
      <c r="V96" s="34">
        <v>0.0</v>
      </c>
      <c r="W96" s="34">
        <v>0.0</v>
      </c>
      <c r="X96" s="34">
        <v>0.0</v>
      </c>
      <c r="Z96" s="34">
        <f t="shared" ref="Z96:AC96" si="215">IF(U96&gt;0,1,0)</f>
        <v>0</v>
      </c>
      <c r="AA96" s="34">
        <f t="shared" si="215"/>
        <v>0</v>
      </c>
      <c r="AB96" s="34">
        <f t="shared" si="215"/>
        <v>0</v>
      </c>
      <c r="AC96" s="34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30</v>
      </c>
      <c r="AW96" s="16"/>
      <c r="AZ96" s="52">
        <v>-2.032</v>
      </c>
      <c r="BA96" s="52">
        <v>1.092</v>
      </c>
      <c r="BG96" s="34">
        <v>0.0</v>
      </c>
      <c r="BH96" s="34">
        <v>0.0</v>
      </c>
      <c r="BI96" s="34">
        <v>0.0</v>
      </c>
      <c r="BJ96" s="34">
        <v>0.0</v>
      </c>
    </row>
    <row r="97">
      <c r="A97" s="34">
        <f t="shared" si="176"/>
        <v>14</v>
      </c>
      <c r="B97" s="71">
        <v>-0.014004808784094214</v>
      </c>
      <c r="C97" s="71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4">
        <f t="shared" ref="P97:S97" si="217">$B97*K$84+$C97*K$85+$D97*K$86+$E97*K$87+$F97*K$88+$G97*K$89+$H97*K$90+$I97*K$91</f>
        <v>-0.0840288527</v>
      </c>
      <c r="Q97" s="34">
        <f t="shared" si="217"/>
        <v>-0.0840288527</v>
      </c>
      <c r="R97" s="34">
        <f t="shared" si="217"/>
        <v>-0.0840288527</v>
      </c>
      <c r="S97" s="34">
        <f t="shared" si="217"/>
        <v>-0.0840288527</v>
      </c>
      <c r="U97" s="34">
        <v>0.0</v>
      </c>
      <c r="V97" s="34">
        <v>0.0</v>
      </c>
      <c r="W97" s="34">
        <v>0.0</v>
      </c>
      <c r="X97" s="34">
        <v>0.0</v>
      </c>
      <c r="Z97" s="34">
        <f t="shared" ref="Z97:AC97" si="218">IF(U97&gt;0,1,0)</f>
        <v>0</v>
      </c>
      <c r="AA97" s="34">
        <f t="shared" si="218"/>
        <v>0</v>
      </c>
      <c r="AB97" s="34">
        <f t="shared" si="218"/>
        <v>0</v>
      </c>
      <c r="AC97" s="34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4">
        <f t="shared" ref="AK97:AN97" si="220">AK89-AU88</f>
        <v>0.2500009621</v>
      </c>
      <c r="AL97" s="34">
        <f t="shared" si="220"/>
        <v>0.2500009621</v>
      </c>
      <c r="AM97" s="34">
        <f t="shared" si="220"/>
        <v>0.2500009621</v>
      </c>
      <c r="AN97" s="34">
        <f t="shared" si="220"/>
        <v>0.2500009621</v>
      </c>
      <c r="AW97" s="16"/>
      <c r="AZ97" s="52">
        <v>-1.476</v>
      </c>
      <c r="BA97" s="52">
        <v>-1.606</v>
      </c>
      <c r="BG97" s="34">
        <v>0.0</v>
      </c>
      <c r="BH97" s="34">
        <v>0.0</v>
      </c>
      <c r="BI97" s="34">
        <v>0.0</v>
      </c>
      <c r="BJ97" s="34">
        <v>0.0</v>
      </c>
    </row>
    <row r="98">
      <c r="A98" s="34">
        <f t="shared" si="176"/>
        <v>15</v>
      </c>
      <c r="B98" s="71">
        <v>0.0</v>
      </c>
      <c r="C98" s="71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4">
        <f t="shared" ref="P98:S98" si="221">$B98*K$84+$C98*K$85+$D98*K$86+$E98*K$87+$F98*K$88+$G98*K$89+$H98*K$90+$I98*K$91</f>
        <v>0</v>
      </c>
      <c r="Q98" s="34">
        <f t="shared" si="221"/>
        <v>0</v>
      </c>
      <c r="R98" s="34">
        <f t="shared" si="221"/>
        <v>0</v>
      </c>
      <c r="S98" s="34">
        <f t="shared" si="221"/>
        <v>0</v>
      </c>
      <c r="U98" s="34">
        <v>2.7265</v>
      </c>
      <c r="V98" s="34">
        <v>2.7265</v>
      </c>
      <c r="W98" s="34">
        <v>2.7265</v>
      </c>
      <c r="X98" s="34">
        <v>2.7265</v>
      </c>
      <c r="Z98" s="34">
        <f t="shared" ref="Z98:AC98" si="222">IF(U98&gt;0,1,0)</f>
        <v>1</v>
      </c>
      <c r="AA98" s="34">
        <f t="shared" si="222"/>
        <v>1</v>
      </c>
      <c r="AB98" s="34">
        <f t="shared" si="222"/>
        <v>1</v>
      </c>
      <c r="AC98" s="34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2">
        <v>-0.084</v>
      </c>
      <c r="BA98" s="52">
        <v>3.386</v>
      </c>
      <c r="BG98" s="34">
        <v>0.0</v>
      </c>
      <c r="BH98" s="34">
        <v>0.0</v>
      </c>
      <c r="BI98" s="34">
        <v>0.0</v>
      </c>
      <c r="BJ98" s="34">
        <v>0.0</v>
      </c>
    </row>
    <row r="99">
      <c r="A99" s="34">
        <f t="shared" si="176"/>
        <v>16</v>
      </c>
      <c r="B99" s="71">
        <v>-0.014004808784094214</v>
      </c>
      <c r="C99" s="71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4">
        <f t="shared" ref="P99:S99" si="224">$B99*K$84+$C99*K$85+$D99*K$86+$E99*K$87+$F99*K$88+$G99*K$89+$H99*K$90+$I99*K$91</f>
        <v>-0.0840288527</v>
      </c>
      <c r="Q99" s="34">
        <f t="shared" si="224"/>
        <v>-0.0840288527</v>
      </c>
      <c r="R99" s="34">
        <f t="shared" si="224"/>
        <v>-0.0840288527</v>
      </c>
      <c r="S99" s="34">
        <f t="shared" si="224"/>
        <v>-0.0840288527</v>
      </c>
      <c r="U99" s="34">
        <v>0.0</v>
      </c>
      <c r="V99" s="34">
        <v>0.0</v>
      </c>
      <c r="W99" s="34">
        <v>0.0</v>
      </c>
      <c r="X99" s="34">
        <v>0.0</v>
      </c>
      <c r="Z99" s="34">
        <f t="shared" ref="Z99:AC99" si="225">IF(U99&gt;0,1,0)</f>
        <v>0</v>
      </c>
      <c r="AA99" s="34">
        <f t="shared" si="225"/>
        <v>0</v>
      </c>
      <c r="AB99" s="34">
        <f t="shared" si="225"/>
        <v>0</v>
      </c>
      <c r="AC99" s="34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2">
        <v>-1.618</v>
      </c>
      <c r="BA99" s="52">
        <v>1.16</v>
      </c>
      <c r="BG99" s="34">
        <v>0.0</v>
      </c>
      <c r="BH99" s="34">
        <v>0.0</v>
      </c>
      <c r="BI99" s="34">
        <v>0.0</v>
      </c>
      <c r="BJ99" s="34">
        <v>0.0</v>
      </c>
    </row>
    <row r="100">
      <c r="A100" s="34">
        <f t="shared" si="176"/>
        <v>17</v>
      </c>
      <c r="B100" s="71">
        <v>-6.277183494004083E-13</v>
      </c>
      <c r="C100" s="71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4">
        <f t="shared" ref="P100:S100" si="227">$B100*K$84+$C100*K$85+$D100*K$86+$E100*K$87+$F100*K$88+$G100*K$89+$H100*K$90+$I100*K$91</f>
        <v>0</v>
      </c>
      <c r="Q100" s="34">
        <f t="shared" si="227"/>
        <v>0</v>
      </c>
      <c r="R100" s="34">
        <f t="shared" si="227"/>
        <v>0</v>
      </c>
      <c r="S100" s="34">
        <f t="shared" si="227"/>
        <v>0</v>
      </c>
      <c r="U100" s="34">
        <v>0.6752500000000001</v>
      </c>
      <c r="V100" s="34">
        <v>0.6752500000000001</v>
      </c>
      <c r="W100" s="34">
        <v>0.6752500000000001</v>
      </c>
      <c r="X100" s="34">
        <v>0.6752500000000001</v>
      </c>
      <c r="Z100" s="34">
        <f t="shared" ref="Z100:AC100" si="228">IF(U100&gt;0,1,0)</f>
        <v>1</v>
      </c>
      <c r="AA100" s="34">
        <f t="shared" si="228"/>
        <v>1</v>
      </c>
      <c r="AB100" s="34">
        <f t="shared" si="228"/>
        <v>1</v>
      </c>
      <c r="AC100" s="34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2">
        <v>2.238</v>
      </c>
      <c r="BA100" s="52">
        <v>-1.671</v>
      </c>
      <c r="BG100" s="34">
        <v>-2.6514222921875575E-12</v>
      </c>
      <c r="BH100" s="34">
        <v>-2.6514222921875575E-12</v>
      </c>
      <c r="BI100" s="34">
        <v>-2.6514222921875575E-12</v>
      </c>
      <c r="BJ100" s="34">
        <v>-2.6514222921875575E-12</v>
      </c>
    </row>
    <row r="101">
      <c r="A101" s="34">
        <f t="shared" si="176"/>
        <v>18</v>
      </c>
      <c r="B101" s="71">
        <v>-3.206888150295296E-4</v>
      </c>
      <c r="C101" s="71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4">
        <f t="shared" ref="P101:S101" si="230">$B101*K$84+$C101*K$85+$D101*K$86+$E101*K$87+$F101*K$88+$G101*K$89+$H101*K$90+$I101*K$91</f>
        <v>-0.00192413289</v>
      </c>
      <c r="Q101" s="34">
        <f t="shared" si="230"/>
        <v>-0.00192413289</v>
      </c>
      <c r="R101" s="34">
        <f t="shared" si="230"/>
        <v>-0.00192413289</v>
      </c>
      <c r="S101" s="34">
        <f t="shared" si="230"/>
        <v>-0.00192413289</v>
      </c>
      <c r="U101" s="34">
        <v>0.11650000000000027</v>
      </c>
      <c r="V101" s="34">
        <v>0.11650000000000027</v>
      </c>
      <c r="W101" s="34">
        <v>0.11650000000000027</v>
      </c>
      <c r="X101" s="34">
        <v>0.11650000000000027</v>
      </c>
      <c r="Z101" s="34">
        <f t="shared" ref="Z101:AC101" si="231">IF(U101&gt;0,1,0)</f>
        <v>1</v>
      </c>
      <c r="AA101" s="34">
        <f t="shared" si="231"/>
        <v>1</v>
      </c>
      <c r="AB101" s="34">
        <f t="shared" si="231"/>
        <v>1</v>
      </c>
      <c r="AC101" s="34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2">
        <v>-2.102</v>
      </c>
      <c r="BA101" s="52">
        <v>1.924</v>
      </c>
      <c r="BG101" s="34">
        <v>0.0</v>
      </c>
      <c r="BH101" s="34">
        <v>0.0</v>
      </c>
      <c r="BI101" s="34">
        <v>0.0</v>
      </c>
      <c r="BJ101" s="34">
        <v>0.0</v>
      </c>
    </row>
    <row r="102">
      <c r="A102" s="34">
        <f t="shared" si="176"/>
        <v>19</v>
      </c>
      <c r="B102" s="71">
        <v>0.0</v>
      </c>
      <c r="C102" s="71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4">
        <f t="shared" ref="P102:S102" si="233">$B102*K$84+$C102*K$85+$D102*K$86+$E102*K$87+$F102*K$88+$G102*K$89+$H102*K$90+$I102*K$91</f>
        <v>0</v>
      </c>
      <c r="Q102" s="34">
        <f t="shared" si="233"/>
        <v>0</v>
      </c>
      <c r="R102" s="34">
        <f t="shared" si="233"/>
        <v>0</v>
      </c>
      <c r="S102" s="34">
        <f t="shared" si="233"/>
        <v>0</v>
      </c>
      <c r="U102" s="34">
        <v>2.6784999999999997</v>
      </c>
      <c r="V102" s="34">
        <v>2.6784999999999997</v>
      </c>
      <c r="W102" s="34">
        <v>2.6784999999999997</v>
      </c>
      <c r="X102" s="34">
        <v>2.6784999999999997</v>
      </c>
      <c r="Z102" s="34">
        <f t="shared" ref="Z102:AC102" si="234">IF(U102&gt;0,1,0)</f>
        <v>1</v>
      </c>
      <c r="AA102" s="34">
        <f t="shared" si="234"/>
        <v>1</v>
      </c>
      <c r="AB102" s="34">
        <f t="shared" si="234"/>
        <v>1</v>
      </c>
      <c r="AC102" s="34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2">
        <v>-1.059</v>
      </c>
      <c r="BA102" s="52">
        <v>4.297</v>
      </c>
      <c r="BG102" s="34">
        <v>0.0</v>
      </c>
      <c r="BH102" s="34">
        <v>0.0</v>
      </c>
      <c r="BI102" s="34">
        <v>0.0</v>
      </c>
      <c r="BJ102" s="34">
        <v>0.0</v>
      </c>
    </row>
    <row r="103">
      <c r="A103" s="34">
        <f t="shared" si="176"/>
        <v>20</v>
      </c>
      <c r="B103" s="71">
        <v>0.0</v>
      </c>
      <c r="C103" s="71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4">
        <f t="shared" ref="P103:S103" si="236">$B103*K$84+$C103*K$85+$D103*K$86+$E103*K$87+$F103*K$88+$G103*K$89+$H103*K$90+$I103*K$91</f>
        <v>0</v>
      </c>
      <c r="Q103" s="34">
        <f t="shared" si="236"/>
        <v>0</v>
      </c>
      <c r="R103" s="34">
        <f t="shared" si="236"/>
        <v>0</v>
      </c>
      <c r="S103" s="34">
        <f t="shared" si="236"/>
        <v>0</v>
      </c>
      <c r="U103" s="34">
        <v>4.46725</v>
      </c>
      <c r="V103" s="34">
        <v>4.46725</v>
      </c>
      <c r="W103" s="34">
        <v>4.46725</v>
      </c>
      <c r="X103" s="34">
        <v>4.46725</v>
      </c>
      <c r="Z103" s="34">
        <f t="shared" ref="Z103:AC103" si="237">IF(U103&gt;0,1,0)</f>
        <v>1</v>
      </c>
      <c r="AA103" s="34">
        <f t="shared" si="237"/>
        <v>1</v>
      </c>
      <c r="AB103" s="34">
        <f t="shared" si="237"/>
        <v>1</v>
      </c>
      <c r="AC103" s="34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2">
        <v>2.642</v>
      </c>
      <c r="BA103" s="52">
        <v>2.981</v>
      </c>
      <c r="BG103" s="34">
        <v>0.0</v>
      </c>
      <c r="BH103" s="34">
        <v>0.0</v>
      </c>
      <c r="BI103" s="34">
        <v>0.0</v>
      </c>
      <c r="BJ103" s="34">
        <v>0.0</v>
      </c>
    </row>
    <row r="104">
      <c r="B104" s="13"/>
      <c r="C104" s="13"/>
      <c r="AW104" s="16"/>
      <c r="BG104" s="34">
        <v>0.0</v>
      </c>
      <c r="BH104" s="34">
        <v>0.0</v>
      </c>
      <c r="BI104" s="34">
        <v>0.0</v>
      </c>
      <c r="BJ104" s="34">
        <v>0.0</v>
      </c>
    </row>
    <row r="105">
      <c r="B105" s="13"/>
      <c r="C105" s="13"/>
      <c r="AW105" s="16"/>
      <c r="BG105" s="34">
        <v>-3.76631009640245E-12</v>
      </c>
      <c r="BH105" s="34">
        <v>-3.76631009640245E-12</v>
      </c>
      <c r="BI105" s="34">
        <v>-3.76631009640245E-12</v>
      </c>
      <c r="BJ105" s="34">
        <v>-3.76631009640245E-12</v>
      </c>
    </row>
    <row r="106">
      <c r="B106" s="13"/>
      <c r="C106" s="13"/>
      <c r="AW106" s="16"/>
      <c r="BG106" s="34">
        <v>-0.0019241328901771775</v>
      </c>
      <c r="BH106" s="34">
        <v>-0.0019241328901771775</v>
      </c>
      <c r="BI106" s="34">
        <v>-0.0019241328901771775</v>
      </c>
      <c r="BJ106" s="34">
        <v>-0.0019241328901771775</v>
      </c>
    </row>
    <row r="107">
      <c r="B107" s="13"/>
      <c r="C107" s="13"/>
      <c r="AW107" s="16"/>
      <c r="BG107" s="34">
        <v>0.0</v>
      </c>
      <c r="BH107" s="34">
        <v>0.0</v>
      </c>
      <c r="BI107" s="34">
        <v>0.0</v>
      </c>
      <c r="BJ107" s="34">
        <v>0.0</v>
      </c>
    </row>
    <row r="108">
      <c r="B108" s="13"/>
      <c r="C108" s="13"/>
      <c r="AW108" s="16"/>
      <c r="BG108" s="34">
        <v>0.0</v>
      </c>
      <c r="BH108" s="34">
        <v>0.0</v>
      </c>
      <c r="BI108" s="34">
        <v>0.0</v>
      </c>
      <c r="BJ108" s="34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0" width="3.25"/>
    <col customWidth="1" min="11" max="11" width="4.0"/>
    <col customWidth="1" min="12" max="12" width="3.63"/>
    <col customWidth="1" min="13" max="13" width="3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2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14" t="s">
        <v>14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20">
        <v>-43.598</v>
      </c>
      <c r="C3" s="21">
        <v>-28.107</v>
      </c>
      <c r="E3" s="22">
        <v>-0.010645038</v>
      </c>
      <c r="F3" s="22">
        <v>-1.2612245E-4</v>
      </c>
      <c r="G3" s="22">
        <v>-0.57310694</v>
      </c>
      <c r="H3" s="23">
        <v>0.97568154</v>
      </c>
      <c r="J3" s="25">
        <f t="shared" ref="J3:M3" si="1">($B3*E$3+$C3*E$4)+E$8</f>
        <v>28.47655711</v>
      </c>
      <c r="K3" s="25">
        <f t="shared" si="1"/>
        <v>4.186474819</v>
      </c>
      <c r="L3" s="25">
        <f t="shared" si="1"/>
        <v>3.316682998</v>
      </c>
      <c r="M3" s="25">
        <f t="shared" si="1"/>
        <v>-22.97025641</v>
      </c>
      <c r="O3" s="26">
        <f t="shared" ref="O3:R3" si="2">max(0,J3)</f>
        <v>28.47655711</v>
      </c>
      <c r="P3" s="26">
        <f t="shared" si="2"/>
        <v>4.186474819</v>
      </c>
      <c r="Q3" s="26">
        <f t="shared" si="2"/>
        <v>3.316682998</v>
      </c>
      <c r="R3" s="26">
        <f t="shared" si="2"/>
        <v>0</v>
      </c>
      <c r="T3" s="27">
        <v>-0.42472363</v>
      </c>
      <c r="U3" s="29">
        <v>-0.24550188</v>
      </c>
      <c r="V3" s="29">
        <v>0.5490173</v>
      </c>
      <c r="W3" s="29">
        <v>0.10106219</v>
      </c>
      <c r="X3" s="27">
        <v>-0.07646787</v>
      </c>
      <c r="Y3" s="27">
        <v>-0.63035583</v>
      </c>
      <c r="Z3" s="29">
        <v>-0.5020721</v>
      </c>
      <c r="AA3" s="27">
        <v>-0.44107014</v>
      </c>
      <c r="AC3" s="32">
        <f t="shared" ref="AC3:AJ3" si="3">($O3*T$3+$P3*T$4+$Q3*T$5+$R3*T$6)+T$9</f>
        <v>-10.91147856</v>
      </c>
      <c r="AD3" s="32">
        <f t="shared" si="3"/>
        <v>-5.748936209</v>
      </c>
      <c r="AE3" s="32">
        <f t="shared" si="3"/>
        <v>19.09041897</v>
      </c>
      <c r="AF3" s="32">
        <f t="shared" si="3"/>
        <v>0.6916596689</v>
      </c>
      <c r="AG3" s="32">
        <f t="shared" si="3"/>
        <v>-6.005519383</v>
      </c>
      <c r="AH3" s="32">
        <f t="shared" si="3"/>
        <v>-16.43861106</v>
      </c>
      <c r="AI3" s="32">
        <f t="shared" si="3"/>
        <v>-17.38843781</v>
      </c>
      <c r="AJ3" s="35">
        <f t="shared" si="3"/>
        <v>-16.37445395</v>
      </c>
      <c r="AL3" s="30">
        <f t="shared" ref="AL3:AS3" si="4">max(0,AC3)</f>
        <v>0</v>
      </c>
      <c r="AM3" s="30">
        <f t="shared" si="4"/>
        <v>0</v>
      </c>
      <c r="AN3" s="30">
        <f t="shared" si="4"/>
        <v>19.09041897</v>
      </c>
      <c r="AO3" s="30">
        <f t="shared" si="4"/>
        <v>0.6916596689</v>
      </c>
      <c r="AP3" s="30">
        <f t="shared" si="4"/>
        <v>0</v>
      </c>
      <c r="AQ3" s="30">
        <f t="shared" si="4"/>
        <v>0</v>
      </c>
      <c r="AR3" s="30">
        <f t="shared" si="4"/>
        <v>0</v>
      </c>
      <c r="AS3" s="30">
        <f t="shared" si="4"/>
        <v>0</v>
      </c>
      <c r="AT3" s="31" t="s">
        <v>14</v>
      </c>
      <c r="AU3" s="1">
        <v>-0.5015718</v>
      </c>
      <c r="AW3" s="36">
        <f t="shared" ref="AW3:AW22" si="9">($AL3*AU$3+$AM3*AU$4+$AN3*AU$5+$AO3*AU$6+$AP3*AU$7+$AQ3*AU$8+$AR3*AU$9+$AS3*AU$10)+AU$13</f>
        <v>-6.577977107</v>
      </c>
      <c r="AY3" s="34">
        <f t="shared" ref="AY3:AY22" si="10">1/(1+EXP(-AW3))
</f>
        <v>0.001388728359</v>
      </c>
      <c r="BA3" s="7">
        <v>0.0</v>
      </c>
    </row>
    <row r="4">
      <c r="A4" s="17">
        <f t="shared" ref="A4:A22" si="11">A3+1</f>
        <v>2</v>
      </c>
      <c r="B4" s="38">
        <v>-46.268</v>
      </c>
      <c r="C4" s="39">
        <v>-14.62</v>
      </c>
      <c r="E4" s="22">
        <v>-0.9965955</v>
      </c>
      <c r="F4" s="22">
        <v>-0.14870757</v>
      </c>
      <c r="G4" s="22">
        <v>0.77104223</v>
      </c>
      <c r="H4" s="22">
        <v>-0.69617915</v>
      </c>
      <c r="J4" s="40">
        <f t="shared" ref="J4:M4" si="5">($B4*E$3+$C4*E$4)+E$8</f>
        <v>15.06389585</v>
      </c>
      <c r="K4" s="40">
        <f t="shared" si="5"/>
        <v>2.181192569</v>
      </c>
      <c r="L4" s="40">
        <f t="shared" si="5"/>
        <v>15.24592508</v>
      </c>
      <c r="M4" s="40">
        <f t="shared" si="5"/>
        <v>-34.96469432</v>
      </c>
      <c r="O4" s="41">
        <f t="shared" ref="O4:R4" si="6">max(0,J4)</f>
        <v>15.06389585</v>
      </c>
      <c r="P4" s="41">
        <f t="shared" si="6"/>
        <v>2.181192569</v>
      </c>
      <c r="Q4" s="41">
        <f t="shared" si="6"/>
        <v>15.24592508</v>
      </c>
      <c r="R4" s="41">
        <f t="shared" si="6"/>
        <v>0</v>
      </c>
      <c r="T4" s="42">
        <v>-0.08083901</v>
      </c>
      <c r="U4" s="29">
        <v>0.18336289</v>
      </c>
      <c r="V4" s="29">
        <v>0.5080816</v>
      </c>
      <c r="W4" s="29">
        <v>-0.1681382</v>
      </c>
      <c r="X4" s="29">
        <v>-0.5139169</v>
      </c>
      <c r="Y4" s="29">
        <v>0.67049414</v>
      </c>
      <c r="Z4" s="29">
        <v>-0.46201998</v>
      </c>
      <c r="AA4" s="29">
        <v>-0.44939935</v>
      </c>
      <c r="AC4" s="43">
        <f t="shared" ref="AC4:AJ4" si="7">($O4*T$3+$P4*T$4+$Q4*T$5+$R4*T$6)+T$9</f>
        <v>0.4123960102</v>
      </c>
      <c r="AD4" s="43">
        <f t="shared" si="7"/>
        <v>-1.114324564</v>
      </c>
      <c r="AE4" s="43">
        <f t="shared" si="7"/>
        <v>15.47589144</v>
      </c>
      <c r="AF4" s="43">
        <f t="shared" si="7"/>
        <v>-5.659422207</v>
      </c>
      <c r="AG4" s="43">
        <f t="shared" si="7"/>
        <v>-9.979184998</v>
      </c>
      <c r="AH4" s="43">
        <f t="shared" si="7"/>
        <v>-13.98708236</v>
      </c>
      <c r="AI4" s="43">
        <f t="shared" si="7"/>
        <v>-13.88896596</v>
      </c>
      <c r="AJ4" s="44">
        <f t="shared" si="7"/>
        <v>-16.50947835</v>
      </c>
      <c r="AL4" s="37">
        <f t="shared" ref="AL4:AS4" si="8">max(0,AC4)</f>
        <v>0.4123960102</v>
      </c>
      <c r="AM4" s="37">
        <f t="shared" si="8"/>
        <v>0</v>
      </c>
      <c r="AN4" s="37">
        <f t="shared" si="8"/>
        <v>15.47589144</v>
      </c>
      <c r="AO4" s="37">
        <f t="shared" si="8"/>
        <v>0</v>
      </c>
      <c r="AP4" s="37">
        <f t="shared" si="8"/>
        <v>0</v>
      </c>
      <c r="AQ4" s="37">
        <f t="shared" si="8"/>
        <v>0</v>
      </c>
      <c r="AR4" s="37">
        <f t="shared" si="8"/>
        <v>0</v>
      </c>
      <c r="AS4" s="37">
        <f t="shared" si="8"/>
        <v>0</v>
      </c>
      <c r="AU4" s="1">
        <v>0.7510762</v>
      </c>
      <c r="AW4" s="33">
        <f t="shared" si="9"/>
        <v>-5.329813861</v>
      </c>
      <c r="AY4" s="34">
        <f t="shared" si="10"/>
        <v>0.004821611197</v>
      </c>
      <c r="BA4" s="7">
        <v>0.0</v>
      </c>
    </row>
    <row r="5">
      <c r="A5" s="17">
        <f t="shared" si="11"/>
        <v>3</v>
      </c>
      <c r="B5" s="45">
        <v>-43.598</v>
      </c>
      <c r="C5" s="45">
        <v>-28.107</v>
      </c>
      <c r="E5" s="5"/>
      <c r="F5" s="5"/>
      <c r="G5" s="5"/>
      <c r="H5" s="5"/>
      <c r="J5" s="40">
        <f t="shared" ref="J5:M5" si="12">($B5*E$3+$C5*E$4)+E$8</f>
        <v>28.47655711</v>
      </c>
      <c r="K5" s="40">
        <f t="shared" si="12"/>
        <v>4.186474819</v>
      </c>
      <c r="L5" s="40">
        <f t="shared" si="12"/>
        <v>3.316682998</v>
      </c>
      <c r="M5" s="40">
        <f t="shared" si="12"/>
        <v>-22.97025641</v>
      </c>
      <c r="O5" s="41">
        <f t="shared" ref="O5:R5" si="13">max(0,J5)</f>
        <v>28.47655711</v>
      </c>
      <c r="P5" s="41">
        <f t="shared" si="13"/>
        <v>4.186474819</v>
      </c>
      <c r="Q5" s="41">
        <f t="shared" si="13"/>
        <v>3.316682998</v>
      </c>
      <c r="R5" s="41">
        <f t="shared" si="13"/>
        <v>0</v>
      </c>
      <c r="T5" s="29">
        <v>0.45812595</v>
      </c>
      <c r="U5" s="29">
        <v>0.14330101</v>
      </c>
      <c r="V5" s="29">
        <v>0.3996987</v>
      </c>
      <c r="W5" s="29">
        <v>-0.44703037</v>
      </c>
      <c r="X5" s="29">
        <v>-0.50546813</v>
      </c>
      <c r="Y5" s="29">
        <v>-0.39052695</v>
      </c>
      <c r="Z5" s="27">
        <v>-0.34881777</v>
      </c>
      <c r="AA5" s="29">
        <v>-0.5827798</v>
      </c>
      <c r="AC5" s="43">
        <f t="shared" ref="AC5:AJ5" si="14">($O5*T$3+$P5*T$4+$Q5*T$5+$R5*T$6)+T$9</f>
        <v>-10.91147856</v>
      </c>
      <c r="AD5" s="43">
        <f t="shared" si="14"/>
        <v>-5.748936209</v>
      </c>
      <c r="AE5" s="43">
        <f t="shared" si="14"/>
        <v>19.09041897</v>
      </c>
      <c r="AF5" s="43">
        <f t="shared" si="14"/>
        <v>0.6916596689</v>
      </c>
      <c r="AG5" s="43">
        <f t="shared" si="14"/>
        <v>-6.005519383</v>
      </c>
      <c r="AH5" s="43">
        <f t="shared" si="14"/>
        <v>-16.43861106</v>
      </c>
      <c r="AI5" s="43">
        <f t="shared" si="14"/>
        <v>-17.38843781</v>
      </c>
      <c r="AJ5" s="44">
        <f t="shared" si="14"/>
        <v>-16.37445395</v>
      </c>
      <c r="AL5" s="37">
        <f t="shared" ref="AL5:AS5" si="15">max(0,AC5)</f>
        <v>0</v>
      </c>
      <c r="AM5" s="37">
        <f t="shared" si="15"/>
        <v>0</v>
      </c>
      <c r="AN5" s="37">
        <f t="shared" si="15"/>
        <v>19.09041897</v>
      </c>
      <c r="AO5" s="37">
        <f t="shared" si="15"/>
        <v>0.6916596689</v>
      </c>
      <c r="AP5" s="37">
        <f t="shared" si="15"/>
        <v>0</v>
      </c>
      <c r="AQ5" s="37">
        <f t="shared" si="15"/>
        <v>0</v>
      </c>
      <c r="AR5" s="37">
        <f t="shared" si="15"/>
        <v>0</v>
      </c>
      <c r="AS5" s="37">
        <f t="shared" si="15"/>
        <v>0</v>
      </c>
      <c r="AU5" s="48">
        <v>-0.33006528</v>
      </c>
      <c r="AW5" s="33">
        <f t="shared" si="9"/>
        <v>-6.577977107</v>
      </c>
      <c r="AY5" s="34">
        <f t="shared" si="10"/>
        <v>0.001388728359</v>
      </c>
      <c r="BA5" s="7">
        <v>0.0</v>
      </c>
    </row>
    <row r="6">
      <c r="A6" s="17">
        <f t="shared" si="11"/>
        <v>4</v>
      </c>
      <c r="B6" s="45">
        <v>-43.598</v>
      </c>
      <c r="C6" s="45">
        <v>-28.107</v>
      </c>
      <c r="E6" s="3" t="s">
        <v>15</v>
      </c>
      <c r="F6" s="5"/>
      <c r="G6" s="5"/>
      <c r="H6" s="5"/>
      <c r="J6" s="40">
        <f t="shared" ref="J6:M6" si="16">($B6*E$3+$C6*E$4)+E$8</f>
        <v>28.47655711</v>
      </c>
      <c r="K6" s="40">
        <f t="shared" si="16"/>
        <v>4.186474819</v>
      </c>
      <c r="L6" s="40">
        <f t="shared" si="16"/>
        <v>3.316682998</v>
      </c>
      <c r="M6" s="40">
        <f t="shared" si="16"/>
        <v>-22.97025641</v>
      </c>
      <c r="O6" s="41">
        <f t="shared" ref="O6:R6" si="17">max(0,J6)</f>
        <v>28.47655711</v>
      </c>
      <c r="P6" s="41">
        <f t="shared" si="17"/>
        <v>4.186474819</v>
      </c>
      <c r="Q6" s="41">
        <f t="shared" si="17"/>
        <v>3.316682998</v>
      </c>
      <c r="R6" s="41">
        <f t="shared" si="17"/>
        <v>0</v>
      </c>
      <c r="T6" s="29">
        <v>-0.09154433</v>
      </c>
      <c r="U6" s="29">
        <v>0.6639406</v>
      </c>
      <c r="V6" s="29">
        <v>-0.61926514</v>
      </c>
      <c r="W6" s="29">
        <v>0.22259605</v>
      </c>
      <c r="X6" s="29">
        <v>0.07708794</v>
      </c>
      <c r="Y6" s="29">
        <v>-0.10790706</v>
      </c>
      <c r="Z6" s="29">
        <v>0.08836055</v>
      </c>
      <c r="AA6" s="29">
        <v>-0.2998767</v>
      </c>
      <c r="AC6" s="43">
        <f t="shared" ref="AC6:AJ6" si="18">($O6*T$3+$P6*T$4+$Q6*T$5+$R6*T$6)+T$9</f>
        <v>-10.91147856</v>
      </c>
      <c r="AD6" s="43">
        <f t="shared" si="18"/>
        <v>-5.748936209</v>
      </c>
      <c r="AE6" s="43">
        <f t="shared" si="18"/>
        <v>19.09041897</v>
      </c>
      <c r="AF6" s="43">
        <f t="shared" si="18"/>
        <v>0.6916596689</v>
      </c>
      <c r="AG6" s="43">
        <f t="shared" si="18"/>
        <v>-6.005519383</v>
      </c>
      <c r="AH6" s="43">
        <f t="shared" si="18"/>
        <v>-16.43861106</v>
      </c>
      <c r="AI6" s="43">
        <f t="shared" si="18"/>
        <v>-17.38843781</v>
      </c>
      <c r="AJ6" s="44">
        <f t="shared" si="18"/>
        <v>-16.37445395</v>
      </c>
      <c r="AL6" s="37">
        <f t="shared" ref="AL6:AS6" si="19">max(0,AC6)</f>
        <v>0</v>
      </c>
      <c r="AM6" s="37">
        <f t="shared" si="19"/>
        <v>0</v>
      </c>
      <c r="AN6" s="37">
        <f t="shared" si="19"/>
        <v>19.09041897</v>
      </c>
      <c r="AO6" s="37">
        <f t="shared" si="19"/>
        <v>0.6916596689</v>
      </c>
      <c r="AP6" s="37">
        <f t="shared" si="19"/>
        <v>0</v>
      </c>
      <c r="AQ6" s="37">
        <f t="shared" si="19"/>
        <v>0</v>
      </c>
      <c r="AR6" s="37">
        <f t="shared" si="19"/>
        <v>0</v>
      </c>
      <c r="AS6" s="37">
        <f t="shared" si="19"/>
        <v>0</v>
      </c>
      <c r="AU6" s="1">
        <v>-0.37876925</v>
      </c>
      <c r="AW6" s="33">
        <f t="shared" si="9"/>
        <v>-6.577977107</v>
      </c>
      <c r="AY6" s="34">
        <f t="shared" si="10"/>
        <v>0.001388728359</v>
      </c>
      <c r="BA6" s="7">
        <v>0.0</v>
      </c>
    </row>
    <row r="7">
      <c r="A7" s="17">
        <f t="shared" si="11"/>
        <v>5</v>
      </c>
      <c r="B7" s="45">
        <v>-43.598</v>
      </c>
      <c r="C7" s="45">
        <v>-28.107</v>
      </c>
      <c r="E7" s="5"/>
      <c r="F7" s="5"/>
      <c r="G7" s="5"/>
      <c r="H7" s="5"/>
      <c r="J7" s="40">
        <f t="shared" ref="J7:M7" si="20">($B7*E$3+$C7*E$4)+E$8</f>
        <v>28.47655711</v>
      </c>
      <c r="K7" s="40">
        <f t="shared" si="20"/>
        <v>4.186474819</v>
      </c>
      <c r="L7" s="40">
        <f t="shared" si="20"/>
        <v>3.316682998</v>
      </c>
      <c r="M7" s="40">
        <f t="shared" si="20"/>
        <v>-22.97025641</v>
      </c>
      <c r="O7" s="41">
        <f t="shared" ref="O7:R7" si="21">max(0,J7)</f>
        <v>28.47655711</v>
      </c>
      <c r="P7" s="41">
        <f t="shared" si="21"/>
        <v>4.186474819</v>
      </c>
      <c r="Q7" s="41">
        <f t="shared" si="21"/>
        <v>3.316682998</v>
      </c>
      <c r="R7" s="41">
        <f t="shared" si="21"/>
        <v>0</v>
      </c>
      <c r="T7" s="51"/>
      <c r="U7" s="10"/>
      <c r="V7" s="10"/>
      <c r="W7" s="10"/>
      <c r="X7" s="10"/>
      <c r="Y7" s="10"/>
      <c r="Z7" s="10"/>
      <c r="AA7" s="10"/>
      <c r="AC7" s="43">
        <f t="shared" ref="AC7:AJ7" si="22">($O7*T$3+$P7*T$4+$Q7*T$5+$R7*T$6)+T$9</f>
        <v>-10.91147856</v>
      </c>
      <c r="AD7" s="43">
        <f t="shared" si="22"/>
        <v>-5.748936209</v>
      </c>
      <c r="AE7" s="43">
        <f t="shared" si="22"/>
        <v>19.09041897</v>
      </c>
      <c r="AF7" s="43">
        <f t="shared" si="22"/>
        <v>0.6916596689</v>
      </c>
      <c r="AG7" s="43">
        <f t="shared" si="22"/>
        <v>-6.005519383</v>
      </c>
      <c r="AH7" s="43">
        <f t="shared" si="22"/>
        <v>-16.43861106</v>
      </c>
      <c r="AI7" s="43">
        <f t="shared" si="22"/>
        <v>-17.38843781</v>
      </c>
      <c r="AJ7" s="44">
        <f t="shared" si="22"/>
        <v>-16.37445395</v>
      </c>
      <c r="AL7" s="37">
        <f t="shared" ref="AL7:AS7" si="23">max(0,AC7)</f>
        <v>0</v>
      </c>
      <c r="AM7" s="37">
        <f t="shared" si="23"/>
        <v>0</v>
      </c>
      <c r="AN7" s="37">
        <f t="shared" si="23"/>
        <v>19.09041897</v>
      </c>
      <c r="AO7" s="37">
        <f t="shared" si="23"/>
        <v>0.6916596689</v>
      </c>
      <c r="AP7" s="37">
        <f t="shared" si="23"/>
        <v>0</v>
      </c>
      <c r="AQ7" s="37">
        <f t="shared" si="23"/>
        <v>0</v>
      </c>
      <c r="AR7" s="37">
        <f t="shared" si="23"/>
        <v>0</v>
      </c>
      <c r="AS7" s="37">
        <f t="shared" si="23"/>
        <v>0</v>
      </c>
      <c r="AU7" s="1">
        <v>-0.6829597</v>
      </c>
      <c r="AW7" s="33">
        <f t="shared" si="9"/>
        <v>-6.577977107</v>
      </c>
      <c r="AY7" s="34">
        <f t="shared" si="10"/>
        <v>0.001388728359</v>
      </c>
      <c r="BA7" s="7">
        <v>0.0</v>
      </c>
    </row>
    <row r="8">
      <c r="A8" s="17">
        <f t="shared" si="11"/>
        <v>6</v>
      </c>
      <c r="B8" s="45">
        <v>-43.598</v>
      </c>
      <c r="C8" s="45">
        <v>-28.107</v>
      </c>
      <c r="E8" s="53">
        <v>0.0011450261</v>
      </c>
      <c r="F8" s="53">
        <v>0.0012524625</v>
      </c>
      <c r="G8" s="53">
        <v>0.002050586</v>
      </c>
      <c r="H8" s="53">
        <v>2.6824638E-9</v>
      </c>
      <c r="J8" s="40">
        <f t="shared" ref="J8:M8" si="24">($B8*E$3+$C8*E$4)+E$8</f>
        <v>28.47655711</v>
      </c>
      <c r="K8" s="40">
        <f t="shared" si="24"/>
        <v>4.186474819</v>
      </c>
      <c r="L8" s="40">
        <f t="shared" si="24"/>
        <v>3.316682998</v>
      </c>
      <c r="M8" s="40">
        <f t="shared" si="24"/>
        <v>-22.97025641</v>
      </c>
      <c r="O8" s="41">
        <f t="shared" ref="O8:R8" si="25">max(0,J8)</f>
        <v>28.47655711</v>
      </c>
      <c r="P8" s="41">
        <f t="shared" si="25"/>
        <v>4.186474819</v>
      </c>
      <c r="Q8" s="41">
        <f t="shared" si="25"/>
        <v>3.316682998</v>
      </c>
      <c r="R8" s="41">
        <f t="shared" si="25"/>
        <v>0</v>
      </c>
      <c r="T8" s="8" t="s">
        <v>15</v>
      </c>
      <c r="U8" s="10"/>
      <c r="V8" s="10"/>
      <c r="W8" s="10"/>
      <c r="X8" s="10"/>
      <c r="Y8" s="10"/>
      <c r="Z8" s="10"/>
      <c r="AA8" s="10"/>
      <c r="AC8" s="43">
        <f t="shared" ref="AC8:AJ8" si="26">($O8*T$3+$P8*T$4+$Q8*T$5+$R8*T$6)+T$9</f>
        <v>-10.91147856</v>
      </c>
      <c r="AD8" s="43">
        <f t="shared" si="26"/>
        <v>-5.748936209</v>
      </c>
      <c r="AE8" s="43">
        <f t="shared" si="26"/>
        <v>19.09041897</v>
      </c>
      <c r="AF8" s="43">
        <f t="shared" si="26"/>
        <v>0.6916596689</v>
      </c>
      <c r="AG8" s="43">
        <f t="shared" si="26"/>
        <v>-6.005519383</v>
      </c>
      <c r="AH8" s="43">
        <f t="shared" si="26"/>
        <v>-16.43861106</v>
      </c>
      <c r="AI8" s="43">
        <f t="shared" si="26"/>
        <v>-17.38843781</v>
      </c>
      <c r="AJ8" s="44">
        <f t="shared" si="26"/>
        <v>-16.37445395</v>
      </c>
      <c r="AL8" s="37">
        <f t="shared" ref="AL8:AS8" si="27">max(0,AC8)</f>
        <v>0</v>
      </c>
      <c r="AM8" s="37">
        <f t="shared" si="27"/>
        <v>0</v>
      </c>
      <c r="AN8" s="37">
        <f t="shared" si="27"/>
        <v>19.09041897</v>
      </c>
      <c r="AO8" s="37">
        <f t="shared" si="27"/>
        <v>0.6916596689</v>
      </c>
      <c r="AP8" s="37">
        <f t="shared" si="27"/>
        <v>0</v>
      </c>
      <c r="AQ8" s="37">
        <f t="shared" si="27"/>
        <v>0</v>
      </c>
      <c r="AR8" s="37">
        <f t="shared" si="27"/>
        <v>0</v>
      </c>
      <c r="AS8" s="37">
        <f t="shared" si="27"/>
        <v>0</v>
      </c>
      <c r="AU8" s="1">
        <v>-0.63966006</v>
      </c>
      <c r="AW8" s="33">
        <f t="shared" si="9"/>
        <v>-6.577977107</v>
      </c>
      <c r="AY8" s="34">
        <f t="shared" si="10"/>
        <v>0.001388728359</v>
      </c>
      <c r="BA8" s="7">
        <v>0.0</v>
      </c>
    </row>
    <row r="9">
      <c r="A9" s="17">
        <f t="shared" si="11"/>
        <v>7</v>
      </c>
      <c r="B9" s="45">
        <v>-43.598</v>
      </c>
      <c r="C9" s="45">
        <v>-28.107</v>
      </c>
      <c r="J9" s="40">
        <f t="shared" ref="J9:M9" si="28">($B9*E$3+$C9*E$4)+E$8</f>
        <v>28.47655711</v>
      </c>
      <c r="K9" s="40">
        <f t="shared" si="28"/>
        <v>4.186474819</v>
      </c>
      <c r="L9" s="40">
        <f t="shared" si="28"/>
        <v>3.316682998</v>
      </c>
      <c r="M9" s="40">
        <f t="shared" si="28"/>
        <v>-22.97025641</v>
      </c>
      <c r="O9" s="41">
        <f t="shared" ref="O9:R9" si="29">max(0,J9)</f>
        <v>28.47655711</v>
      </c>
      <c r="P9" s="41">
        <f t="shared" si="29"/>
        <v>4.186474819</v>
      </c>
      <c r="Q9" s="41">
        <f t="shared" si="29"/>
        <v>3.316682998</v>
      </c>
      <c r="R9" s="41">
        <f t="shared" si="29"/>
        <v>0</v>
      </c>
      <c r="T9" s="56">
        <v>0.0021600749</v>
      </c>
      <c r="U9" s="56">
        <v>-8.1604766E-4</v>
      </c>
      <c r="V9" s="56">
        <v>0.0035517651</v>
      </c>
      <c r="W9" s="56">
        <v>3.2081155E-4</v>
      </c>
      <c r="X9" s="56">
        <v>-2.5627516E-9</v>
      </c>
      <c r="Y9" s="56">
        <v>0.0</v>
      </c>
      <c r="Z9" s="56">
        <v>-1.2661708E-9</v>
      </c>
      <c r="AA9" s="57">
        <v>0.0</v>
      </c>
      <c r="AC9" s="43">
        <f t="shared" ref="AC9:AJ9" si="30">($O9*T$3+$P9*T$4+$Q9*T$5+$R9*T$6)+T$9</f>
        <v>-10.91147856</v>
      </c>
      <c r="AD9" s="43">
        <f t="shared" si="30"/>
        <v>-5.748936209</v>
      </c>
      <c r="AE9" s="43">
        <f t="shared" si="30"/>
        <v>19.09041897</v>
      </c>
      <c r="AF9" s="43">
        <f t="shared" si="30"/>
        <v>0.6916596689</v>
      </c>
      <c r="AG9" s="43">
        <f t="shared" si="30"/>
        <v>-6.005519383</v>
      </c>
      <c r="AH9" s="43">
        <f t="shared" si="30"/>
        <v>-16.43861106</v>
      </c>
      <c r="AI9" s="43">
        <f t="shared" si="30"/>
        <v>-17.38843781</v>
      </c>
      <c r="AJ9" s="44">
        <f t="shared" si="30"/>
        <v>-16.37445395</v>
      </c>
      <c r="AL9" s="37">
        <f t="shared" ref="AL9:AS9" si="31">max(0,AC9)</f>
        <v>0</v>
      </c>
      <c r="AM9" s="37">
        <f t="shared" si="31"/>
        <v>0</v>
      </c>
      <c r="AN9" s="37">
        <f t="shared" si="31"/>
        <v>19.09041897</v>
      </c>
      <c r="AO9" s="37">
        <f t="shared" si="31"/>
        <v>0.6916596689</v>
      </c>
      <c r="AP9" s="37">
        <f t="shared" si="31"/>
        <v>0</v>
      </c>
      <c r="AQ9" s="37">
        <f t="shared" si="31"/>
        <v>0</v>
      </c>
      <c r="AR9" s="37">
        <f t="shared" si="31"/>
        <v>0</v>
      </c>
      <c r="AS9" s="37">
        <f t="shared" si="31"/>
        <v>0</v>
      </c>
      <c r="AU9" s="1">
        <v>-0.31433272</v>
      </c>
      <c r="AW9" s="33">
        <f t="shared" si="9"/>
        <v>-6.577977107</v>
      </c>
      <c r="AY9" s="34">
        <f t="shared" si="10"/>
        <v>0.001388728359</v>
      </c>
      <c r="BA9" s="7">
        <v>0.0</v>
      </c>
    </row>
    <row r="10">
      <c r="A10" s="17">
        <f t="shared" si="11"/>
        <v>8</v>
      </c>
      <c r="B10" s="45">
        <v>-43.598</v>
      </c>
      <c r="C10" s="45">
        <v>-28.107</v>
      </c>
      <c r="E10" s="58" t="s">
        <v>17</v>
      </c>
      <c r="F10" s="59"/>
      <c r="G10" s="59"/>
      <c r="H10" s="59"/>
      <c r="J10" s="40">
        <f t="shared" ref="J10:M10" si="32">($B10*E$3+$C10*E$4)+E$8</f>
        <v>28.47655711</v>
      </c>
      <c r="K10" s="40">
        <f t="shared" si="32"/>
        <v>4.186474819</v>
      </c>
      <c r="L10" s="40">
        <f t="shared" si="32"/>
        <v>3.316682998</v>
      </c>
      <c r="M10" s="40">
        <f t="shared" si="32"/>
        <v>-22.97025641</v>
      </c>
      <c r="O10" s="41">
        <f t="shared" ref="O10:R10" si="33">max(0,J10)</f>
        <v>28.47655711</v>
      </c>
      <c r="P10" s="41">
        <f t="shared" si="33"/>
        <v>4.186474819</v>
      </c>
      <c r="Q10" s="41">
        <f t="shared" si="33"/>
        <v>3.316682998</v>
      </c>
      <c r="R10" s="41">
        <f t="shared" si="33"/>
        <v>0</v>
      </c>
      <c r="AC10" s="43">
        <f t="shared" ref="AC10:AJ10" si="34">($O10*T$3+$P10*T$4+$Q10*T$5+$R10*T$6)+T$9</f>
        <v>-10.91147856</v>
      </c>
      <c r="AD10" s="43">
        <f t="shared" si="34"/>
        <v>-5.748936209</v>
      </c>
      <c r="AE10" s="43">
        <f t="shared" si="34"/>
        <v>19.09041897</v>
      </c>
      <c r="AF10" s="43">
        <f t="shared" si="34"/>
        <v>0.6916596689</v>
      </c>
      <c r="AG10" s="43">
        <f t="shared" si="34"/>
        <v>-6.005519383</v>
      </c>
      <c r="AH10" s="43">
        <f t="shared" si="34"/>
        <v>-16.43861106</v>
      </c>
      <c r="AI10" s="43">
        <f t="shared" si="34"/>
        <v>-17.38843781</v>
      </c>
      <c r="AJ10" s="44">
        <f t="shared" si="34"/>
        <v>-16.37445395</v>
      </c>
      <c r="AL10" s="37">
        <f t="shared" ref="AL10:AS10" si="35">max(0,AC10)</f>
        <v>0</v>
      </c>
      <c r="AM10" s="37">
        <f t="shared" si="35"/>
        <v>0</v>
      </c>
      <c r="AN10" s="37">
        <f t="shared" si="35"/>
        <v>19.09041897</v>
      </c>
      <c r="AO10" s="37">
        <f t="shared" si="35"/>
        <v>0.6916596689</v>
      </c>
      <c r="AP10" s="37">
        <f t="shared" si="35"/>
        <v>0</v>
      </c>
      <c r="AQ10" s="37">
        <f t="shared" si="35"/>
        <v>0</v>
      </c>
      <c r="AR10" s="37">
        <f t="shared" si="35"/>
        <v>0</v>
      </c>
      <c r="AS10" s="37">
        <f t="shared" si="35"/>
        <v>0</v>
      </c>
      <c r="AU10" s="1">
        <v>-0.74053854</v>
      </c>
      <c r="AW10" s="33">
        <f t="shared" si="9"/>
        <v>-6.577977107</v>
      </c>
      <c r="AY10" s="34">
        <f t="shared" si="10"/>
        <v>0.001388728359</v>
      </c>
      <c r="BA10" s="7">
        <v>0.0</v>
      </c>
    </row>
    <row r="11">
      <c r="A11" s="17">
        <f t="shared" si="11"/>
        <v>9</v>
      </c>
      <c r="B11" s="45">
        <v>-43.598</v>
      </c>
      <c r="C11" s="45">
        <v>-28.107</v>
      </c>
      <c r="J11" s="40">
        <f t="shared" ref="J11:M11" si="36">($B11*E$3+$C11*E$4)+E$8</f>
        <v>28.47655711</v>
      </c>
      <c r="K11" s="40">
        <f t="shared" si="36"/>
        <v>4.186474819</v>
      </c>
      <c r="L11" s="40">
        <f t="shared" si="36"/>
        <v>3.316682998</v>
      </c>
      <c r="M11" s="40">
        <f t="shared" si="36"/>
        <v>-22.97025641</v>
      </c>
      <c r="O11" s="41">
        <f t="shared" ref="O11:R11" si="37">max(0,J11)</f>
        <v>28.47655711</v>
      </c>
      <c r="P11" s="41">
        <f t="shared" si="37"/>
        <v>4.186474819</v>
      </c>
      <c r="Q11" s="41">
        <f t="shared" si="37"/>
        <v>3.316682998</v>
      </c>
      <c r="R11" s="41">
        <f t="shared" si="37"/>
        <v>0</v>
      </c>
      <c r="AC11" s="43">
        <f t="shared" ref="AC11:AJ11" si="38">($O11*T$3+$P11*T$4+$Q11*T$5+$R11*T$6)+T$9</f>
        <v>-10.91147856</v>
      </c>
      <c r="AD11" s="43">
        <f t="shared" si="38"/>
        <v>-5.748936209</v>
      </c>
      <c r="AE11" s="43">
        <f t="shared" si="38"/>
        <v>19.09041897</v>
      </c>
      <c r="AF11" s="43">
        <f t="shared" si="38"/>
        <v>0.6916596689</v>
      </c>
      <c r="AG11" s="43">
        <f t="shared" si="38"/>
        <v>-6.005519383</v>
      </c>
      <c r="AH11" s="43">
        <f t="shared" si="38"/>
        <v>-16.43861106</v>
      </c>
      <c r="AI11" s="43">
        <f t="shared" si="38"/>
        <v>-17.38843781</v>
      </c>
      <c r="AJ11" s="44">
        <f t="shared" si="38"/>
        <v>-16.37445395</v>
      </c>
      <c r="AL11" s="37">
        <f t="shared" ref="AL11:AS11" si="39">max(0,AC11)</f>
        <v>0</v>
      </c>
      <c r="AM11" s="37">
        <f t="shared" si="39"/>
        <v>0</v>
      </c>
      <c r="AN11" s="37">
        <f t="shared" si="39"/>
        <v>19.09041897</v>
      </c>
      <c r="AO11" s="37">
        <f t="shared" si="39"/>
        <v>0.6916596689</v>
      </c>
      <c r="AP11" s="37">
        <f t="shared" si="39"/>
        <v>0</v>
      </c>
      <c r="AQ11" s="37">
        <f t="shared" si="39"/>
        <v>0</v>
      </c>
      <c r="AR11" s="37">
        <f t="shared" si="39"/>
        <v>0</v>
      </c>
      <c r="AS11" s="37">
        <f t="shared" si="39"/>
        <v>0</v>
      </c>
      <c r="AW11" s="33">
        <f t="shared" si="9"/>
        <v>-6.577977107</v>
      </c>
      <c r="AY11" s="34">
        <f t="shared" si="10"/>
        <v>0.001388728359</v>
      </c>
      <c r="BA11" s="7">
        <v>0.0</v>
      </c>
    </row>
    <row r="12">
      <c r="A12" s="17">
        <f t="shared" si="11"/>
        <v>10</v>
      </c>
      <c r="B12" s="45">
        <v>-43.598</v>
      </c>
      <c r="C12" s="45">
        <v>-28.107</v>
      </c>
      <c r="J12" s="40">
        <f t="shared" ref="J12:M12" si="40">($B12*E$3+$C12*E$4)+E$8</f>
        <v>28.47655711</v>
      </c>
      <c r="K12" s="40">
        <f t="shared" si="40"/>
        <v>4.186474819</v>
      </c>
      <c r="L12" s="40">
        <f t="shared" si="40"/>
        <v>3.316682998</v>
      </c>
      <c r="M12" s="40">
        <f t="shared" si="40"/>
        <v>-22.97025641</v>
      </c>
      <c r="O12" s="41">
        <f t="shared" ref="O12:R12" si="41">max(0,J12)</f>
        <v>28.47655711</v>
      </c>
      <c r="P12" s="41">
        <f t="shared" si="41"/>
        <v>4.186474819</v>
      </c>
      <c r="Q12" s="41">
        <f t="shared" si="41"/>
        <v>3.316682998</v>
      </c>
      <c r="R12" s="41">
        <f t="shared" si="41"/>
        <v>0</v>
      </c>
      <c r="T12" s="58" t="s">
        <v>17</v>
      </c>
      <c r="U12" s="55"/>
      <c r="V12" s="55"/>
      <c r="W12" s="55"/>
      <c r="X12" s="55"/>
      <c r="Y12" s="55"/>
      <c r="Z12" s="55"/>
      <c r="AA12" s="55"/>
      <c r="AC12" s="43">
        <f t="shared" ref="AC12:AJ12" si="42">($O12*T$3+$P12*T$4+$Q12*T$5+$R12*T$6)+T$9</f>
        <v>-10.91147856</v>
      </c>
      <c r="AD12" s="43">
        <f t="shared" si="42"/>
        <v>-5.748936209</v>
      </c>
      <c r="AE12" s="43">
        <f t="shared" si="42"/>
        <v>19.09041897</v>
      </c>
      <c r="AF12" s="43">
        <f t="shared" si="42"/>
        <v>0.6916596689</v>
      </c>
      <c r="AG12" s="43">
        <f t="shared" si="42"/>
        <v>-6.005519383</v>
      </c>
      <c r="AH12" s="43">
        <f t="shared" si="42"/>
        <v>-16.43861106</v>
      </c>
      <c r="AI12" s="43">
        <f t="shared" si="42"/>
        <v>-17.38843781</v>
      </c>
      <c r="AJ12" s="44">
        <f t="shared" si="42"/>
        <v>-16.37445395</v>
      </c>
      <c r="AL12" s="37">
        <f t="shared" ref="AL12:AS12" si="43">max(0,AC12)</f>
        <v>0</v>
      </c>
      <c r="AM12" s="37">
        <f t="shared" si="43"/>
        <v>0</v>
      </c>
      <c r="AN12" s="37">
        <f t="shared" si="43"/>
        <v>19.09041897</v>
      </c>
      <c r="AO12" s="37">
        <f t="shared" si="43"/>
        <v>0.6916596689</v>
      </c>
      <c r="AP12" s="37">
        <f t="shared" si="43"/>
        <v>0</v>
      </c>
      <c r="AQ12" s="37">
        <f t="shared" si="43"/>
        <v>0</v>
      </c>
      <c r="AR12" s="37">
        <f t="shared" si="43"/>
        <v>0</v>
      </c>
      <c r="AS12" s="37">
        <f t="shared" si="43"/>
        <v>0</v>
      </c>
      <c r="AU12" s="11" t="s">
        <v>15</v>
      </c>
      <c r="AW12" s="33">
        <f t="shared" si="9"/>
        <v>-6.577977107</v>
      </c>
      <c r="AY12" s="34">
        <f t="shared" si="10"/>
        <v>0.001388728359</v>
      </c>
      <c r="BA12" s="7">
        <v>0.0</v>
      </c>
    </row>
    <row r="13">
      <c r="A13" s="17">
        <f t="shared" si="11"/>
        <v>11</v>
      </c>
      <c r="B13" s="38">
        <v>65.036</v>
      </c>
      <c r="C13" s="38">
        <v>55.836</v>
      </c>
      <c r="J13" s="40">
        <f t="shared" ref="J13:M13" si="44">($B13*E$3+$C13*E$4)+E$8</f>
        <v>-56.337072</v>
      </c>
      <c r="K13" s="40">
        <f t="shared" si="44"/>
        <v>-8.310185916</v>
      </c>
      <c r="L13" s="40">
        <f t="shared" si="44"/>
        <v>5.78138159</v>
      </c>
      <c r="M13" s="40">
        <f t="shared" si="44"/>
        <v>24.58256562</v>
      </c>
      <c r="O13" s="41">
        <f t="shared" ref="O13:R13" si="45">max(0,J13)</f>
        <v>0</v>
      </c>
      <c r="P13" s="41">
        <f t="shared" si="45"/>
        <v>0</v>
      </c>
      <c r="Q13" s="41">
        <f t="shared" si="45"/>
        <v>5.78138159</v>
      </c>
      <c r="R13" s="41">
        <f t="shared" si="45"/>
        <v>24.58256562</v>
      </c>
      <c r="AC13" s="43">
        <f t="shared" ref="AC13:AJ13" si="46">($O13*T$3+$P13*T$4+$Q13*T$5+$R13*T$6)+T$9</f>
        <v>0.4003665091</v>
      </c>
      <c r="AD13" s="43">
        <f t="shared" si="46"/>
        <v>17.14902514</v>
      </c>
      <c r="AE13" s="43">
        <f t="shared" si="46"/>
        <v>-12.90876347</v>
      </c>
      <c r="AF13" s="43">
        <f t="shared" si="46"/>
        <v>2.887849666</v>
      </c>
      <c r="AG13" s="43">
        <f t="shared" si="46"/>
        <v>-1.0272848</v>
      </c>
      <c r="AH13" s="43">
        <f t="shared" si="46"/>
        <v>-4.910417702</v>
      </c>
      <c r="AI13" s="43">
        <f t="shared" si="46"/>
        <v>0.1554803833</v>
      </c>
      <c r="AJ13" s="44">
        <f t="shared" si="46"/>
        <v>-10.74101106</v>
      </c>
      <c r="AL13" s="37">
        <f t="shared" ref="AL13:AS13" si="47">max(0,AC13)</f>
        <v>0.4003665091</v>
      </c>
      <c r="AM13" s="37">
        <f t="shared" si="47"/>
        <v>17.14902514</v>
      </c>
      <c r="AN13" s="37">
        <f t="shared" si="47"/>
        <v>0</v>
      </c>
      <c r="AO13" s="37">
        <f t="shared" si="47"/>
        <v>2.887849666</v>
      </c>
      <c r="AP13" s="37">
        <f t="shared" si="47"/>
        <v>0</v>
      </c>
      <c r="AQ13" s="37">
        <f t="shared" si="47"/>
        <v>0</v>
      </c>
      <c r="AR13" s="37">
        <f t="shared" si="47"/>
        <v>0.1554803833</v>
      </c>
      <c r="AS13" s="37">
        <f t="shared" si="47"/>
        <v>0</v>
      </c>
      <c r="AU13" s="1">
        <v>-0.01491321</v>
      </c>
      <c r="AW13" s="33">
        <f t="shared" si="9"/>
        <v>11.52179765</v>
      </c>
      <c r="AY13" s="34">
        <f t="shared" si="10"/>
        <v>0.9999900884</v>
      </c>
      <c r="BA13" s="7">
        <v>1.0</v>
      </c>
    </row>
    <row r="14">
      <c r="A14" s="17">
        <f t="shared" si="11"/>
        <v>12</v>
      </c>
      <c r="B14" s="38">
        <v>61.994</v>
      </c>
      <c r="C14" s="60">
        <v>40.178</v>
      </c>
      <c r="J14" s="40">
        <f t="shared" ref="J14:M14" si="48">($B14*E$3+$C14*E$4)+E$8</f>
        <v>-40.69999746</v>
      </c>
      <c r="K14" s="40">
        <f t="shared" si="48"/>
        <v>-5.98133912</v>
      </c>
      <c r="L14" s="40">
        <f t="shared" si="48"/>
        <v>-4.548206335</v>
      </c>
      <c r="M14" s="40">
        <f t="shared" si="48"/>
        <v>32.5153155</v>
      </c>
      <c r="O14" s="41">
        <f t="shared" ref="O14:R14" si="49">max(0,J14)</f>
        <v>0</v>
      </c>
      <c r="P14" s="41">
        <f t="shared" si="49"/>
        <v>0</v>
      </c>
      <c r="Q14" s="41">
        <f t="shared" si="49"/>
        <v>0</v>
      </c>
      <c r="R14" s="41">
        <f t="shared" si="49"/>
        <v>32.5153155</v>
      </c>
      <c r="AC14" s="43">
        <f t="shared" ref="AC14:AJ14" si="50">($O14*T$3+$P14*T$4+$Q14*T$5+$R14*T$6)+T$9</f>
        <v>-2.974432698</v>
      </c>
      <c r="AD14" s="43">
        <f t="shared" si="50"/>
        <v>21.58742204</v>
      </c>
      <c r="AE14" s="43">
        <f t="shared" si="50"/>
        <v>-20.13204964</v>
      </c>
      <c r="AF14" s="43">
        <f t="shared" si="50"/>
        <v>7.238101607</v>
      </c>
      <c r="AG14" s="43">
        <f t="shared" si="50"/>
        <v>2.506538688</v>
      </c>
      <c r="AH14" s="43">
        <f t="shared" si="50"/>
        <v>-3.508632101</v>
      </c>
      <c r="AI14" s="43">
        <f t="shared" si="50"/>
        <v>2.87307116</v>
      </c>
      <c r="AJ14" s="44">
        <f t="shared" si="50"/>
        <v>-9.750585513</v>
      </c>
      <c r="AL14" s="37">
        <f t="shared" ref="AL14:AS14" si="51">max(0,AC14)</f>
        <v>0</v>
      </c>
      <c r="AM14" s="37">
        <f t="shared" si="51"/>
        <v>21.58742204</v>
      </c>
      <c r="AN14" s="37">
        <f t="shared" si="51"/>
        <v>0</v>
      </c>
      <c r="AO14" s="37">
        <f t="shared" si="51"/>
        <v>7.238101607</v>
      </c>
      <c r="AP14" s="37">
        <f t="shared" si="51"/>
        <v>2.506538688</v>
      </c>
      <c r="AQ14" s="37">
        <f t="shared" si="51"/>
        <v>0</v>
      </c>
      <c r="AR14" s="37">
        <f t="shared" si="51"/>
        <v>2.87307116</v>
      </c>
      <c r="AS14" s="37">
        <f t="shared" si="51"/>
        <v>0</v>
      </c>
      <c r="AW14" s="33">
        <f t="shared" si="9"/>
        <v>10.8423502</v>
      </c>
      <c r="AY14" s="34">
        <f t="shared" si="10"/>
        <v>0.9999804468</v>
      </c>
      <c r="BA14" s="7">
        <v>1.0</v>
      </c>
    </row>
    <row r="15">
      <c r="A15" s="17">
        <f t="shared" si="11"/>
        <v>13</v>
      </c>
      <c r="B15" s="38">
        <v>65.036</v>
      </c>
      <c r="C15" s="38">
        <v>55.836</v>
      </c>
      <c r="J15" s="40">
        <f t="shared" ref="J15:M15" si="52">($B15*E$3+$C15*E$4)+E$8</f>
        <v>-56.337072</v>
      </c>
      <c r="K15" s="40">
        <f t="shared" si="52"/>
        <v>-8.310185916</v>
      </c>
      <c r="L15" s="40">
        <f t="shared" si="52"/>
        <v>5.78138159</v>
      </c>
      <c r="M15" s="40">
        <f t="shared" si="52"/>
        <v>24.58256562</v>
      </c>
      <c r="O15" s="41">
        <f t="shared" ref="O15:R15" si="53">max(0,J15)</f>
        <v>0</v>
      </c>
      <c r="P15" s="41">
        <f t="shared" si="53"/>
        <v>0</v>
      </c>
      <c r="Q15" s="41">
        <f t="shared" si="53"/>
        <v>5.78138159</v>
      </c>
      <c r="R15" s="41">
        <f t="shared" si="53"/>
        <v>24.58256562</v>
      </c>
      <c r="AC15" s="43">
        <f t="shared" ref="AC15:AJ15" si="54">($O15*T$3+$P15*T$4+$Q15*T$5+$R15*T$6)+T$9</f>
        <v>0.4003665091</v>
      </c>
      <c r="AD15" s="43">
        <f t="shared" si="54"/>
        <v>17.14902514</v>
      </c>
      <c r="AE15" s="43">
        <f t="shared" si="54"/>
        <v>-12.90876347</v>
      </c>
      <c r="AF15" s="43">
        <f t="shared" si="54"/>
        <v>2.887849666</v>
      </c>
      <c r="AG15" s="43">
        <f t="shared" si="54"/>
        <v>-1.0272848</v>
      </c>
      <c r="AH15" s="43">
        <f t="shared" si="54"/>
        <v>-4.910417702</v>
      </c>
      <c r="AI15" s="43">
        <f t="shared" si="54"/>
        <v>0.1554803833</v>
      </c>
      <c r="AJ15" s="44">
        <f t="shared" si="54"/>
        <v>-10.74101106</v>
      </c>
      <c r="AL15" s="37">
        <f t="shared" ref="AL15:AS15" si="55">max(0,AC15)</f>
        <v>0.4003665091</v>
      </c>
      <c r="AM15" s="37">
        <f t="shared" si="55"/>
        <v>17.14902514</v>
      </c>
      <c r="AN15" s="37">
        <f t="shared" si="55"/>
        <v>0</v>
      </c>
      <c r="AO15" s="37">
        <f t="shared" si="55"/>
        <v>2.887849666</v>
      </c>
      <c r="AP15" s="37">
        <f t="shared" si="55"/>
        <v>0</v>
      </c>
      <c r="AQ15" s="37">
        <f t="shared" si="55"/>
        <v>0</v>
      </c>
      <c r="AR15" s="37">
        <f t="shared" si="55"/>
        <v>0.1554803833</v>
      </c>
      <c r="AS15" s="37">
        <f t="shared" si="55"/>
        <v>0</v>
      </c>
      <c r="AU15" s="58" t="s">
        <v>17</v>
      </c>
      <c r="AV15" s="55"/>
      <c r="AW15" s="33">
        <f t="shared" si="9"/>
        <v>11.52179765</v>
      </c>
      <c r="AY15" s="34">
        <f t="shared" si="10"/>
        <v>0.9999900884</v>
      </c>
      <c r="BA15" s="7">
        <v>1.0</v>
      </c>
    </row>
    <row r="16">
      <c r="A16" s="17">
        <f t="shared" si="11"/>
        <v>14</v>
      </c>
      <c r="B16" s="38">
        <v>65.036</v>
      </c>
      <c r="C16" s="38">
        <v>55.836</v>
      </c>
      <c r="J16" s="40">
        <f t="shared" ref="J16:M16" si="56">($B16*E$3+$C16*E$4)+E$8</f>
        <v>-56.337072</v>
      </c>
      <c r="K16" s="40">
        <f t="shared" si="56"/>
        <v>-8.310185916</v>
      </c>
      <c r="L16" s="40">
        <f t="shared" si="56"/>
        <v>5.78138159</v>
      </c>
      <c r="M16" s="40">
        <f t="shared" si="56"/>
        <v>24.58256562</v>
      </c>
      <c r="O16" s="41">
        <f t="shared" ref="O16:R16" si="57">max(0,J16)</f>
        <v>0</v>
      </c>
      <c r="P16" s="41">
        <f t="shared" si="57"/>
        <v>0</v>
      </c>
      <c r="Q16" s="41">
        <f t="shared" si="57"/>
        <v>5.78138159</v>
      </c>
      <c r="R16" s="41">
        <f t="shared" si="57"/>
        <v>24.58256562</v>
      </c>
      <c r="AC16" s="43">
        <f t="shared" ref="AC16:AJ16" si="58">($O16*T$3+$P16*T$4+$Q16*T$5+$R16*T$6)+T$9</f>
        <v>0.4003665091</v>
      </c>
      <c r="AD16" s="43">
        <f t="shared" si="58"/>
        <v>17.14902514</v>
      </c>
      <c r="AE16" s="43">
        <f t="shared" si="58"/>
        <v>-12.90876347</v>
      </c>
      <c r="AF16" s="43">
        <f t="shared" si="58"/>
        <v>2.887849666</v>
      </c>
      <c r="AG16" s="43">
        <f t="shared" si="58"/>
        <v>-1.0272848</v>
      </c>
      <c r="AH16" s="43">
        <f t="shared" si="58"/>
        <v>-4.910417702</v>
      </c>
      <c r="AI16" s="43">
        <f t="shared" si="58"/>
        <v>0.1554803833</v>
      </c>
      <c r="AJ16" s="44">
        <f t="shared" si="58"/>
        <v>-10.74101106</v>
      </c>
      <c r="AL16" s="37">
        <f t="shared" ref="AL16:AS16" si="59">max(0,AC16)</f>
        <v>0.4003665091</v>
      </c>
      <c r="AM16" s="37">
        <f t="shared" si="59"/>
        <v>17.14902514</v>
      </c>
      <c r="AN16" s="37">
        <f t="shared" si="59"/>
        <v>0</v>
      </c>
      <c r="AO16" s="37">
        <f t="shared" si="59"/>
        <v>2.887849666</v>
      </c>
      <c r="AP16" s="37">
        <f t="shared" si="59"/>
        <v>0</v>
      </c>
      <c r="AQ16" s="37">
        <f t="shared" si="59"/>
        <v>0</v>
      </c>
      <c r="AR16" s="37">
        <f t="shared" si="59"/>
        <v>0.1554803833</v>
      </c>
      <c r="AS16" s="37">
        <f t="shared" si="59"/>
        <v>0</v>
      </c>
      <c r="AW16" s="33">
        <f t="shared" si="9"/>
        <v>11.52179765</v>
      </c>
      <c r="AY16" s="34">
        <f t="shared" si="10"/>
        <v>0.9999900884</v>
      </c>
      <c r="BA16" s="7">
        <v>1.0</v>
      </c>
    </row>
    <row r="17">
      <c r="A17" s="17">
        <f t="shared" si="11"/>
        <v>15</v>
      </c>
      <c r="B17" s="38">
        <v>65.036</v>
      </c>
      <c r="C17" s="38">
        <v>55.836</v>
      </c>
      <c r="J17" s="40">
        <f t="shared" ref="J17:M17" si="60">($B17*E$3+$C17*E$4)+E$8</f>
        <v>-56.337072</v>
      </c>
      <c r="K17" s="40">
        <f t="shared" si="60"/>
        <v>-8.310185916</v>
      </c>
      <c r="L17" s="40">
        <f t="shared" si="60"/>
        <v>5.78138159</v>
      </c>
      <c r="M17" s="40">
        <f t="shared" si="60"/>
        <v>24.58256562</v>
      </c>
      <c r="O17" s="41">
        <f t="shared" ref="O17:R17" si="61">max(0,J17)</f>
        <v>0</v>
      </c>
      <c r="P17" s="41">
        <f t="shared" si="61"/>
        <v>0</v>
      </c>
      <c r="Q17" s="41">
        <f t="shared" si="61"/>
        <v>5.78138159</v>
      </c>
      <c r="R17" s="41">
        <f t="shared" si="61"/>
        <v>24.58256562</v>
      </c>
      <c r="AC17" s="43">
        <f t="shared" ref="AC17:AJ17" si="62">($O17*T$3+$P17*T$4+$Q17*T$5+$R17*T$6)+T$9</f>
        <v>0.4003665091</v>
      </c>
      <c r="AD17" s="43">
        <f t="shared" si="62"/>
        <v>17.14902514</v>
      </c>
      <c r="AE17" s="43">
        <f t="shared" si="62"/>
        <v>-12.90876347</v>
      </c>
      <c r="AF17" s="43">
        <f t="shared" si="62"/>
        <v>2.887849666</v>
      </c>
      <c r="AG17" s="43">
        <f t="shared" si="62"/>
        <v>-1.0272848</v>
      </c>
      <c r="AH17" s="43">
        <f t="shared" si="62"/>
        <v>-4.910417702</v>
      </c>
      <c r="AI17" s="43">
        <f t="shared" si="62"/>
        <v>0.1554803833</v>
      </c>
      <c r="AJ17" s="44">
        <f t="shared" si="62"/>
        <v>-10.74101106</v>
      </c>
      <c r="AL17" s="37">
        <f t="shared" ref="AL17:AS17" si="63">max(0,AC17)</f>
        <v>0.4003665091</v>
      </c>
      <c r="AM17" s="37">
        <f t="shared" si="63"/>
        <v>17.14902514</v>
      </c>
      <c r="AN17" s="37">
        <f t="shared" si="63"/>
        <v>0</v>
      </c>
      <c r="AO17" s="37">
        <f t="shared" si="63"/>
        <v>2.887849666</v>
      </c>
      <c r="AP17" s="37">
        <f t="shared" si="63"/>
        <v>0</v>
      </c>
      <c r="AQ17" s="37">
        <f t="shared" si="63"/>
        <v>0</v>
      </c>
      <c r="AR17" s="37">
        <f t="shared" si="63"/>
        <v>0.1554803833</v>
      </c>
      <c r="AS17" s="37">
        <f t="shared" si="63"/>
        <v>0</v>
      </c>
      <c r="AW17" s="33">
        <f t="shared" si="9"/>
        <v>11.52179765</v>
      </c>
      <c r="AY17" s="34">
        <f t="shared" si="10"/>
        <v>0.9999900884</v>
      </c>
      <c r="BA17" s="7">
        <v>1.0</v>
      </c>
    </row>
    <row r="18">
      <c r="A18" s="17">
        <f t="shared" si="11"/>
        <v>16</v>
      </c>
      <c r="B18" s="38">
        <v>65.036</v>
      </c>
      <c r="C18" s="38">
        <v>55.836</v>
      </c>
      <c r="J18" s="40">
        <f t="shared" ref="J18:M18" si="64">($B18*E$3+$C18*E$4)+E$8</f>
        <v>-56.337072</v>
      </c>
      <c r="K18" s="40">
        <f t="shared" si="64"/>
        <v>-8.310185916</v>
      </c>
      <c r="L18" s="40">
        <f t="shared" si="64"/>
        <v>5.78138159</v>
      </c>
      <c r="M18" s="40">
        <f t="shared" si="64"/>
        <v>24.58256562</v>
      </c>
      <c r="O18" s="41">
        <f t="shared" ref="O18:R18" si="65">max(0,J18)</f>
        <v>0</v>
      </c>
      <c r="P18" s="41">
        <f t="shared" si="65"/>
        <v>0</v>
      </c>
      <c r="Q18" s="41">
        <f t="shared" si="65"/>
        <v>5.78138159</v>
      </c>
      <c r="R18" s="41">
        <f t="shared" si="65"/>
        <v>24.58256562</v>
      </c>
      <c r="AC18" s="43">
        <f t="shared" ref="AC18:AJ18" si="66">($O18*T$3+$P18*T$4+$Q18*T$5+$R18*T$6)+T$9</f>
        <v>0.4003665091</v>
      </c>
      <c r="AD18" s="43">
        <f t="shared" si="66"/>
        <v>17.14902514</v>
      </c>
      <c r="AE18" s="43">
        <f t="shared" si="66"/>
        <v>-12.90876347</v>
      </c>
      <c r="AF18" s="43">
        <f t="shared" si="66"/>
        <v>2.887849666</v>
      </c>
      <c r="AG18" s="43">
        <f t="shared" si="66"/>
        <v>-1.0272848</v>
      </c>
      <c r="AH18" s="43">
        <f t="shared" si="66"/>
        <v>-4.910417702</v>
      </c>
      <c r="AI18" s="43">
        <f t="shared" si="66"/>
        <v>0.1554803833</v>
      </c>
      <c r="AJ18" s="44">
        <f t="shared" si="66"/>
        <v>-10.74101106</v>
      </c>
      <c r="AL18" s="37">
        <f t="shared" ref="AL18:AS18" si="67">max(0,AC18)</f>
        <v>0.4003665091</v>
      </c>
      <c r="AM18" s="37">
        <f t="shared" si="67"/>
        <v>17.14902514</v>
      </c>
      <c r="AN18" s="37">
        <f t="shared" si="67"/>
        <v>0</v>
      </c>
      <c r="AO18" s="37">
        <f t="shared" si="67"/>
        <v>2.887849666</v>
      </c>
      <c r="AP18" s="37">
        <f t="shared" si="67"/>
        <v>0</v>
      </c>
      <c r="AQ18" s="37">
        <f t="shared" si="67"/>
        <v>0</v>
      </c>
      <c r="AR18" s="37">
        <f t="shared" si="67"/>
        <v>0.1554803833</v>
      </c>
      <c r="AS18" s="37">
        <f t="shared" si="67"/>
        <v>0</v>
      </c>
      <c r="AW18" s="33">
        <f t="shared" si="9"/>
        <v>11.52179765</v>
      </c>
      <c r="AY18" s="34">
        <f t="shared" si="10"/>
        <v>0.9999900884</v>
      </c>
      <c r="BA18" s="7">
        <v>1.0</v>
      </c>
    </row>
    <row r="19">
      <c r="A19" s="17">
        <f t="shared" si="11"/>
        <v>17</v>
      </c>
      <c r="B19" s="38">
        <v>65.036</v>
      </c>
      <c r="C19" s="38">
        <v>55.836</v>
      </c>
      <c r="J19" s="40">
        <f t="shared" ref="J19:M19" si="68">($B19*E$3+$C19*E$4)+E$8</f>
        <v>-56.337072</v>
      </c>
      <c r="K19" s="40">
        <f t="shared" si="68"/>
        <v>-8.310185916</v>
      </c>
      <c r="L19" s="40">
        <f t="shared" si="68"/>
        <v>5.78138159</v>
      </c>
      <c r="M19" s="40">
        <f t="shared" si="68"/>
        <v>24.58256562</v>
      </c>
      <c r="O19" s="41">
        <f t="shared" ref="O19:R19" si="69">max(0,J19)</f>
        <v>0</v>
      </c>
      <c r="P19" s="41">
        <f t="shared" si="69"/>
        <v>0</v>
      </c>
      <c r="Q19" s="41">
        <f t="shared" si="69"/>
        <v>5.78138159</v>
      </c>
      <c r="R19" s="41">
        <f t="shared" si="69"/>
        <v>24.58256562</v>
      </c>
      <c r="AC19" s="43">
        <f t="shared" ref="AC19:AJ19" si="70">($O19*T$3+$P19*T$4+$Q19*T$5+$R19*T$6)+T$9</f>
        <v>0.4003665091</v>
      </c>
      <c r="AD19" s="43">
        <f t="shared" si="70"/>
        <v>17.14902514</v>
      </c>
      <c r="AE19" s="43">
        <f t="shared" si="70"/>
        <v>-12.90876347</v>
      </c>
      <c r="AF19" s="43">
        <f t="shared" si="70"/>
        <v>2.887849666</v>
      </c>
      <c r="AG19" s="43">
        <f t="shared" si="70"/>
        <v>-1.0272848</v>
      </c>
      <c r="AH19" s="43">
        <f t="shared" si="70"/>
        <v>-4.910417702</v>
      </c>
      <c r="AI19" s="43">
        <f t="shared" si="70"/>
        <v>0.1554803833</v>
      </c>
      <c r="AJ19" s="44">
        <f t="shared" si="70"/>
        <v>-10.74101106</v>
      </c>
      <c r="AL19" s="37">
        <f t="shared" ref="AL19:AS19" si="71">max(0,AC19)</f>
        <v>0.4003665091</v>
      </c>
      <c r="AM19" s="37">
        <f t="shared" si="71"/>
        <v>17.14902514</v>
      </c>
      <c r="AN19" s="37">
        <f t="shared" si="71"/>
        <v>0</v>
      </c>
      <c r="AO19" s="37">
        <f t="shared" si="71"/>
        <v>2.887849666</v>
      </c>
      <c r="AP19" s="37">
        <f t="shared" si="71"/>
        <v>0</v>
      </c>
      <c r="AQ19" s="37">
        <f t="shared" si="71"/>
        <v>0</v>
      </c>
      <c r="AR19" s="37">
        <f t="shared" si="71"/>
        <v>0.1554803833</v>
      </c>
      <c r="AS19" s="37">
        <f t="shared" si="71"/>
        <v>0</v>
      </c>
      <c r="AW19" s="33">
        <f t="shared" si="9"/>
        <v>11.52179765</v>
      </c>
      <c r="AY19" s="34">
        <f t="shared" si="10"/>
        <v>0.9999900884</v>
      </c>
      <c r="BA19" s="7">
        <v>1.0</v>
      </c>
    </row>
    <row r="20">
      <c r="A20" s="17">
        <f t="shared" si="11"/>
        <v>18</v>
      </c>
      <c r="B20" s="38">
        <v>65.036</v>
      </c>
      <c r="C20" s="38">
        <v>55.836</v>
      </c>
      <c r="J20" s="40">
        <f t="shared" ref="J20:M20" si="72">($B20*E$3+$C20*E$4)+E$8</f>
        <v>-56.337072</v>
      </c>
      <c r="K20" s="40">
        <f t="shared" si="72"/>
        <v>-8.310185916</v>
      </c>
      <c r="L20" s="40">
        <f t="shared" si="72"/>
        <v>5.78138159</v>
      </c>
      <c r="M20" s="40">
        <f t="shared" si="72"/>
        <v>24.58256562</v>
      </c>
      <c r="O20" s="41">
        <f t="shared" ref="O20:R20" si="73">max(0,J20)</f>
        <v>0</v>
      </c>
      <c r="P20" s="41">
        <f t="shared" si="73"/>
        <v>0</v>
      </c>
      <c r="Q20" s="41">
        <f t="shared" si="73"/>
        <v>5.78138159</v>
      </c>
      <c r="R20" s="41">
        <f t="shared" si="73"/>
        <v>24.58256562</v>
      </c>
      <c r="AC20" s="43">
        <f t="shared" ref="AC20:AJ20" si="74">($O20*T$3+$P20*T$4+$Q20*T$5+$R20*T$6)+T$9</f>
        <v>0.4003665091</v>
      </c>
      <c r="AD20" s="43">
        <f t="shared" si="74"/>
        <v>17.14902514</v>
      </c>
      <c r="AE20" s="43">
        <f t="shared" si="74"/>
        <v>-12.90876347</v>
      </c>
      <c r="AF20" s="43">
        <f t="shared" si="74"/>
        <v>2.887849666</v>
      </c>
      <c r="AG20" s="43">
        <f t="shared" si="74"/>
        <v>-1.0272848</v>
      </c>
      <c r="AH20" s="43">
        <f t="shared" si="74"/>
        <v>-4.910417702</v>
      </c>
      <c r="AI20" s="43">
        <f t="shared" si="74"/>
        <v>0.1554803833</v>
      </c>
      <c r="AJ20" s="44">
        <f t="shared" si="74"/>
        <v>-10.74101106</v>
      </c>
      <c r="AL20" s="37">
        <f t="shared" ref="AL20:AS20" si="75">max(0,AC20)</f>
        <v>0.4003665091</v>
      </c>
      <c r="AM20" s="37">
        <f t="shared" si="75"/>
        <v>17.14902514</v>
      </c>
      <c r="AN20" s="37">
        <f t="shared" si="75"/>
        <v>0</v>
      </c>
      <c r="AO20" s="37">
        <f t="shared" si="75"/>
        <v>2.887849666</v>
      </c>
      <c r="AP20" s="37">
        <f t="shared" si="75"/>
        <v>0</v>
      </c>
      <c r="AQ20" s="37">
        <f t="shared" si="75"/>
        <v>0</v>
      </c>
      <c r="AR20" s="37">
        <f t="shared" si="75"/>
        <v>0.1554803833</v>
      </c>
      <c r="AS20" s="37">
        <f t="shared" si="75"/>
        <v>0</v>
      </c>
      <c r="AW20" s="33">
        <f t="shared" si="9"/>
        <v>11.52179765</v>
      </c>
      <c r="AY20" s="34">
        <f t="shared" si="10"/>
        <v>0.9999900884</v>
      </c>
      <c r="BA20" s="7">
        <v>1.0</v>
      </c>
    </row>
    <row r="21">
      <c r="A21" s="17">
        <f t="shared" si="11"/>
        <v>19</v>
      </c>
      <c r="B21" s="38">
        <v>65.036</v>
      </c>
      <c r="C21" s="38">
        <v>55.836</v>
      </c>
      <c r="J21" s="40">
        <f t="shared" ref="J21:M21" si="76">($B21*E$3+$C21*E$4)+E$8</f>
        <v>-56.337072</v>
      </c>
      <c r="K21" s="40">
        <f t="shared" si="76"/>
        <v>-8.310185916</v>
      </c>
      <c r="L21" s="40">
        <f t="shared" si="76"/>
        <v>5.78138159</v>
      </c>
      <c r="M21" s="40">
        <f t="shared" si="76"/>
        <v>24.58256562</v>
      </c>
      <c r="O21" s="41">
        <f t="shared" ref="O21:R21" si="77">max(0,J21)</f>
        <v>0</v>
      </c>
      <c r="P21" s="41">
        <f t="shared" si="77"/>
        <v>0</v>
      </c>
      <c r="Q21" s="41">
        <f t="shared" si="77"/>
        <v>5.78138159</v>
      </c>
      <c r="R21" s="41">
        <f t="shared" si="77"/>
        <v>24.58256562</v>
      </c>
      <c r="AC21" s="43">
        <f t="shared" ref="AC21:AJ21" si="78">($O21*T$3+$P21*T$4+$Q21*T$5+$R21*T$6)+T$9</f>
        <v>0.4003665091</v>
      </c>
      <c r="AD21" s="43">
        <f t="shared" si="78"/>
        <v>17.14902514</v>
      </c>
      <c r="AE21" s="43">
        <f t="shared" si="78"/>
        <v>-12.90876347</v>
      </c>
      <c r="AF21" s="43">
        <f t="shared" si="78"/>
        <v>2.887849666</v>
      </c>
      <c r="AG21" s="43">
        <f t="shared" si="78"/>
        <v>-1.0272848</v>
      </c>
      <c r="AH21" s="43">
        <f t="shared" si="78"/>
        <v>-4.910417702</v>
      </c>
      <c r="AI21" s="43">
        <f t="shared" si="78"/>
        <v>0.1554803833</v>
      </c>
      <c r="AJ21" s="44">
        <f t="shared" si="78"/>
        <v>-10.74101106</v>
      </c>
      <c r="AL21" s="37">
        <f t="shared" ref="AL21:AS21" si="79">max(0,AC21)</f>
        <v>0.4003665091</v>
      </c>
      <c r="AM21" s="37">
        <f t="shared" si="79"/>
        <v>17.14902514</v>
      </c>
      <c r="AN21" s="37">
        <f t="shared" si="79"/>
        <v>0</v>
      </c>
      <c r="AO21" s="37">
        <f t="shared" si="79"/>
        <v>2.887849666</v>
      </c>
      <c r="AP21" s="37">
        <f t="shared" si="79"/>
        <v>0</v>
      </c>
      <c r="AQ21" s="37">
        <f t="shared" si="79"/>
        <v>0</v>
      </c>
      <c r="AR21" s="37">
        <f t="shared" si="79"/>
        <v>0.1554803833</v>
      </c>
      <c r="AS21" s="37">
        <f t="shared" si="79"/>
        <v>0</v>
      </c>
      <c r="AW21" s="33">
        <f t="shared" si="9"/>
        <v>11.52179765</v>
      </c>
      <c r="AY21" s="34">
        <f t="shared" si="10"/>
        <v>0.9999900884</v>
      </c>
      <c r="BA21" s="7">
        <v>1.0</v>
      </c>
    </row>
    <row r="22">
      <c r="A22" s="17">
        <f t="shared" si="11"/>
        <v>20</v>
      </c>
      <c r="B22" s="38">
        <v>65.036</v>
      </c>
      <c r="C22" s="38">
        <v>55.836</v>
      </c>
      <c r="J22" s="40">
        <f t="shared" ref="J22:M22" si="80">($B22*E$3+$C22*E$4)+E$8</f>
        <v>-56.337072</v>
      </c>
      <c r="K22" s="40">
        <f t="shared" si="80"/>
        <v>-8.310185916</v>
      </c>
      <c r="L22" s="40">
        <f t="shared" si="80"/>
        <v>5.78138159</v>
      </c>
      <c r="M22" s="40">
        <f t="shared" si="80"/>
        <v>24.58256562</v>
      </c>
      <c r="O22" s="41">
        <f t="shared" ref="O22:R22" si="81">max(0,J22)</f>
        <v>0</v>
      </c>
      <c r="P22" s="41">
        <f t="shared" si="81"/>
        <v>0</v>
      </c>
      <c r="Q22" s="41">
        <f t="shared" si="81"/>
        <v>5.78138159</v>
      </c>
      <c r="R22" s="41">
        <f t="shared" si="81"/>
        <v>24.58256562</v>
      </c>
      <c r="AC22" s="43">
        <f t="shared" ref="AC22:AJ22" si="82">($O22*T$3+$P22*T$4+$Q22*T$5+$R22*T$6)+T$9</f>
        <v>0.4003665091</v>
      </c>
      <c r="AD22" s="43">
        <f t="shared" si="82"/>
        <v>17.14902514</v>
      </c>
      <c r="AE22" s="43">
        <f t="shared" si="82"/>
        <v>-12.90876347</v>
      </c>
      <c r="AF22" s="43">
        <f t="shared" si="82"/>
        <v>2.887849666</v>
      </c>
      <c r="AG22" s="43">
        <f t="shared" si="82"/>
        <v>-1.0272848</v>
      </c>
      <c r="AH22" s="43">
        <f t="shared" si="82"/>
        <v>-4.910417702</v>
      </c>
      <c r="AI22" s="43">
        <f t="shared" si="82"/>
        <v>0.1554803833</v>
      </c>
      <c r="AJ22" s="44">
        <f t="shared" si="82"/>
        <v>-10.74101106</v>
      </c>
      <c r="AL22" s="37">
        <f t="shared" ref="AL22:AS22" si="83">max(0,AC22)</f>
        <v>0.4003665091</v>
      </c>
      <c r="AM22" s="37">
        <f t="shared" si="83"/>
        <v>17.14902514</v>
      </c>
      <c r="AN22" s="37">
        <f t="shared" si="83"/>
        <v>0</v>
      </c>
      <c r="AO22" s="37">
        <f t="shared" si="83"/>
        <v>2.887849666</v>
      </c>
      <c r="AP22" s="37">
        <f t="shared" si="83"/>
        <v>0</v>
      </c>
      <c r="AQ22" s="37">
        <f t="shared" si="83"/>
        <v>0</v>
      </c>
      <c r="AR22" s="37">
        <f t="shared" si="83"/>
        <v>0.1554803833</v>
      </c>
      <c r="AS22" s="37">
        <f t="shared" si="83"/>
        <v>0</v>
      </c>
      <c r="AW22" s="33">
        <f t="shared" si="9"/>
        <v>11.52179765</v>
      </c>
      <c r="AY22" s="34">
        <f t="shared" si="10"/>
        <v>0.9999900884</v>
      </c>
      <c r="BA22" s="7">
        <v>1.0</v>
      </c>
    </row>
    <row r="23">
      <c r="B23" s="13"/>
      <c r="C23" s="13"/>
      <c r="AW23" s="16"/>
      <c r="BA23" s="7" t="s">
        <v>14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0" width="3.25"/>
    <col customWidth="1" min="11" max="11" width="4.0"/>
    <col customWidth="1" min="12" max="12" width="3.63"/>
    <col customWidth="1" min="13" max="13" width="3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2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14" t="s">
        <v>14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28">
        <v>-23.5505</v>
      </c>
      <c r="C3" s="28">
        <v>-46.6333</v>
      </c>
      <c r="E3" s="22">
        <v>-0.010645038</v>
      </c>
      <c r="F3" s="22">
        <v>-1.2612245E-4</v>
      </c>
      <c r="G3" s="22">
        <v>-0.57310694</v>
      </c>
      <c r="H3" s="23">
        <v>0.97568154</v>
      </c>
      <c r="J3" s="25">
        <f t="shared" ref="J3:M3" si="1">($B3*E$3+$C3*E$4)+E$8</f>
        <v>46.72637792</v>
      </c>
      <c r="K3" s="25">
        <f t="shared" si="1"/>
        <v>6.938947433</v>
      </c>
      <c r="L3" s="25">
        <f t="shared" si="1"/>
        <v>-22.45723805</v>
      </c>
      <c r="M3" s="25">
        <f t="shared" si="1"/>
        <v>9.487343051</v>
      </c>
      <c r="O3" s="26">
        <f t="shared" ref="O3:R3" si="2">max(0,J3)</f>
        <v>46.72637792</v>
      </c>
      <c r="P3" s="26">
        <f t="shared" si="2"/>
        <v>6.938947433</v>
      </c>
      <c r="Q3" s="26">
        <f t="shared" si="2"/>
        <v>0</v>
      </c>
      <c r="R3" s="26">
        <f t="shared" si="2"/>
        <v>9.487343051</v>
      </c>
      <c r="T3" s="27">
        <v>-0.42472363</v>
      </c>
      <c r="U3" s="29">
        <v>-0.24550188</v>
      </c>
      <c r="V3" s="29">
        <v>0.5490173</v>
      </c>
      <c r="W3" s="29">
        <v>0.10106219</v>
      </c>
      <c r="X3" s="27">
        <v>-0.07646787</v>
      </c>
      <c r="Y3" s="27">
        <v>-0.63035583</v>
      </c>
      <c r="Z3" s="29">
        <v>-0.5020721</v>
      </c>
      <c r="AA3" s="27">
        <v>-0.44107014</v>
      </c>
      <c r="AC3" s="32">
        <f t="shared" ref="AC3:AJ3" si="3">($O3*T$3+$P3*T$4+$Q3*T$5+$R3*T$6)+T$9</f>
        <v>-21.27308688</v>
      </c>
      <c r="AD3" s="32">
        <f t="shared" si="3"/>
        <v>-3.900851981</v>
      </c>
      <c r="AE3" s="32">
        <f t="shared" si="3"/>
        <v>23.3075123</v>
      </c>
      <c r="AF3" s="32">
        <f t="shared" si="3"/>
        <v>5.667733852</v>
      </c>
      <c r="AG3" s="32">
        <f t="shared" si="3"/>
        <v>-6.407749218</v>
      </c>
      <c r="AH3" s="32">
        <f t="shared" si="3"/>
        <v>-25.82547244</v>
      </c>
      <c r="AI3" s="32">
        <f t="shared" si="3"/>
        <v>-25.8276362</v>
      </c>
      <c r="AJ3" s="35">
        <f t="shared" si="3"/>
        <v>-26.57300164</v>
      </c>
      <c r="AL3" s="30">
        <f t="shared" ref="AL3:AS3" si="4">max(0,AC3)</f>
        <v>0</v>
      </c>
      <c r="AM3" s="30">
        <f t="shared" si="4"/>
        <v>0</v>
      </c>
      <c r="AN3" s="30">
        <f t="shared" si="4"/>
        <v>23.3075123</v>
      </c>
      <c r="AO3" s="30">
        <f t="shared" si="4"/>
        <v>5.667733852</v>
      </c>
      <c r="AP3" s="30">
        <f t="shared" si="4"/>
        <v>0</v>
      </c>
      <c r="AQ3" s="30">
        <f t="shared" si="4"/>
        <v>0</v>
      </c>
      <c r="AR3" s="30">
        <f t="shared" si="4"/>
        <v>0</v>
      </c>
      <c r="AS3" s="30">
        <f t="shared" si="4"/>
        <v>0</v>
      </c>
      <c r="AT3" s="31" t="s">
        <v>14</v>
      </c>
      <c r="AU3" s="1">
        <v>-0.5015718</v>
      </c>
      <c r="AW3" s="36">
        <f t="shared" ref="AW3:AW22" si="9">($AL3*AU$3+$AM3*AU$4+$AN3*AU$5+$AO3*AU$6+$AP3*AU$7+$AQ3*AU$8+$AR3*AU$9+$AS3*AU$10)+AU$13</f>
        <v>-9.854677085</v>
      </c>
      <c r="AY3" s="34">
        <f t="shared" ref="AY3:AY22" si="10">1/(1+EXP(-AW3))
</f>
        <v>0.00005249830973</v>
      </c>
      <c r="BA3" s="7">
        <v>0.0</v>
      </c>
    </row>
    <row r="4">
      <c r="A4" s="17">
        <f t="shared" ref="A4:A22" si="11">A3+1</f>
        <v>2</v>
      </c>
      <c r="B4" s="28">
        <v>-23.5614</v>
      </c>
      <c r="C4" s="50">
        <v>-46.6559</v>
      </c>
      <c r="E4" s="22">
        <v>-0.9965955</v>
      </c>
      <c r="F4" s="22">
        <v>-0.14870757</v>
      </c>
      <c r="G4" s="22">
        <v>0.77104223</v>
      </c>
      <c r="H4" s="22">
        <v>-0.69617915</v>
      </c>
      <c r="J4" s="40">
        <f t="shared" ref="J4:M4" si="5">($B4*E$3+$C4*E$4)+E$8</f>
        <v>46.74901701</v>
      </c>
      <c r="K4" s="40">
        <f t="shared" si="5"/>
        <v>6.942309599</v>
      </c>
      <c r="L4" s="40">
        <f t="shared" si="5"/>
        <v>-22.46841674</v>
      </c>
      <c r="M4" s="40">
        <f t="shared" si="5"/>
        <v>9.492441771</v>
      </c>
      <c r="O4" s="41">
        <f t="shared" ref="O4:R4" si="6">max(0,J4)</f>
        <v>46.74901701</v>
      </c>
      <c r="P4" s="41">
        <f t="shared" si="6"/>
        <v>6.942309599</v>
      </c>
      <c r="Q4" s="41">
        <f t="shared" si="6"/>
        <v>0</v>
      </c>
      <c r="R4" s="41">
        <f t="shared" si="6"/>
        <v>9.492441771</v>
      </c>
      <c r="T4" s="42">
        <v>-0.08083901</v>
      </c>
      <c r="U4" s="29">
        <v>0.18336289</v>
      </c>
      <c r="V4" s="29">
        <v>0.5080816</v>
      </c>
      <c r="W4" s="29">
        <v>-0.1681382</v>
      </c>
      <c r="X4" s="29">
        <v>-0.5139169</v>
      </c>
      <c r="Y4" s="29">
        <v>0.67049414</v>
      </c>
      <c r="Z4" s="29">
        <v>-0.46201998</v>
      </c>
      <c r="AA4" s="29">
        <v>-0.44939935</v>
      </c>
      <c r="AC4" s="43">
        <f t="shared" ref="AC4:AJ4" si="7">($O4*T$3+$P4*T$4+$Q4*T$5+$R4*T$6)+T$9</f>
        <v>-21.28344079</v>
      </c>
      <c r="AD4" s="43">
        <f t="shared" si="7"/>
        <v>-3.902408176</v>
      </c>
      <c r="AE4" s="43">
        <f t="shared" si="7"/>
        <v>23.31849235</v>
      </c>
      <c r="AF4" s="43">
        <f t="shared" si="7"/>
        <v>5.670591454</v>
      </c>
      <c r="AG4" s="43">
        <f t="shared" si="7"/>
        <v>-6.410815205</v>
      </c>
      <c r="AH4" s="43">
        <f t="shared" si="7"/>
        <v>-25.838039</v>
      </c>
      <c r="AI4" s="43">
        <f t="shared" si="7"/>
        <v>-25.84010551</v>
      </c>
      <c r="AJ4" s="44">
        <f t="shared" si="7"/>
        <v>-26.58602701</v>
      </c>
      <c r="AL4" s="37">
        <f t="shared" ref="AL4:AS4" si="8">max(0,AC4)</f>
        <v>0</v>
      </c>
      <c r="AM4" s="37">
        <f t="shared" si="8"/>
        <v>0</v>
      </c>
      <c r="AN4" s="37">
        <f t="shared" si="8"/>
        <v>23.31849235</v>
      </c>
      <c r="AO4" s="37">
        <f t="shared" si="8"/>
        <v>5.670591454</v>
      </c>
      <c r="AP4" s="37">
        <f t="shared" si="8"/>
        <v>0</v>
      </c>
      <c r="AQ4" s="37">
        <f t="shared" si="8"/>
        <v>0</v>
      </c>
      <c r="AR4" s="37">
        <f t="shared" si="8"/>
        <v>0</v>
      </c>
      <c r="AS4" s="37">
        <f t="shared" si="8"/>
        <v>0</v>
      </c>
      <c r="AU4" s="1">
        <v>0.7510762</v>
      </c>
      <c r="AW4" s="33">
        <f t="shared" si="9"/>
        <v>-9.859383589</v>
      </c>
      <c r="AY4" s="34">
        <f t="shared" si="10"/>
        <v>0.00005225181964</v>
      </c>
      <c r="BA4" s="7">
        <v>0.0</v>
      </c>
    </row>
    <row r="5">
      <c r="A5" s="17">
        <f t="shared" si="11"/>
        <v>3</v>
      </c>
      <c r="B5" s="28">
        <v>-23.5477</v>
      </c>
      <c r="C5" s="28">
        <v>-46.6358</v>
      </c>
      <c r="E5" s="5"/>
      <c r="F5" s="5"/>
      <c r="G5" s="5"/>
      <c r="H5" s="5"/>
      <c r="J5" s="40">
        <f t="shared" ref="J5:M5" si="12">($B5*E$3+$C5*E$4)+E$8</f>
        <v>46.72883961</v>
      </c>
      <c r="K5" s="40">
        <f t="shared" si="12"/>
        <v>6.939318849</v>
      </c>
      <c r="L5" s="40">
        <f t="shared" si="12"/>
        <v>-22.46077035</v>
      </c>
      <c r="M5" s="40">
        <f t="shared" si="12"/>
        <v>9.491815407</v>
      </c>
      <c r="O5" s="41">
        <f t="shared" ref="O5:R5" si="13">max(0,J5)</f>
        <v>46.72883961</v>
      </c>
      <c r="P5" s="41">
        <f t="shared" si="13"/>
        <v>6.939318849</v>
      </c>
      <c r="Q5" s="41">
        <f t="shared" si="13"/>
        <v>0</v>
      </c>
      <c r="R5" s="41">
        <f t="shared" si="13"/>
        <v>9.491815407</v>
      </c>
      <c r="T5" s="29">
        <v>0.45812595</v>
      </c>
      <c r="U5" s="29">
        <v>0.14330101</v>
      </c>
      <c r="V5" s="29">
        <v>0.3996987</v>
      </c>
      <c r="W5" s="29">
        <v>-0.44703037</v>
      </c>
      <c r="X5" s="29">
        <v>-0.50546813</v>
      </c>
      <c r="Y5" s="29">
        <v>-0.39052695</v>
      </c>
      <c r="Z5" s="27">
        <v>-0.34881777</v>
      </c>
      <c r="AA5" s="29">
        <v>-0.5827798</v>
      </c>
      <c r="AC5" s="43">
        <f t="shared" ref="AC5:AJ5" si="14">($O5*T$3+$P5*T$4+$Q5*T$5+$R5*T$6)+T$9</f>
        <v>-21.27457186</v>
      </c>
      <c r="AD5" s="43">
        <f t="shared" si="14"/>
        <v>-3.898418846</v>
      </c>
      <c r="AE5" s="43">
        <f t="shared" si="14"/>
        <v>23.30628294</v>
      </c>
      <c r="AF5" s="43">
        <f t="shared" si="14"/>
        <v>5.668915715</v>
      </c>
      <c r="AG5" s="43">
        <f t="shared" si="14"/>
        <v>-6.407783569</v>
      </c>
      <c r="AH5" s="43">
        <f t="shared" si="14"/>
        <v>-25.82725775</v>
      </c>
      <c r="AI5" s="43">
        <f t="shared" si="14"/>
        <v>-25.82864856</v>
      </c>
      <c r="AJ5" s="44">
        <f t="shared" si="14"/>
        <v>-26.57559549</v>
      </c>
      <c r="AL5" s="37">
        <f t="shared" ref="AL5:AS5" si="15">max(0,AC5)</f>
        <v>0</v>
      </c>
      <c r="AM5" s="37">
        <f t="shared" si="15"/>
        <v>0</v>
      </c>
      <c r="AN5" s="37">
        <f t="shared" si="15"/>
        <v>23.30628294</v>
      </c>
      <c r="AO5" s="37">
        <f t="shared" si="15"/>
        <v>5.668915715</v>
      </c>
      <c r="AP5" s="37">
        <f t="shared" si="15"/>
        <v>0</v>
      </c>
      <c r="AQ5" s="37">
        <f t="shared" si="15"/>
        <v>0</v>
      </c>
      <c r="AR5" s="37">
        <f t="shared" si="15"/>
        <v>0</v>
      </c>
      <c r="AS5" s="37">
        <f t="shared" si="15"/>
        <v>0</v>
      </c>
      <c r="AU5" s="48">
        <v>-0.33006528</v>
      </c>
      <c r="AW5" s="33">
        <f t="shared" si="9"/>
        <v>-9.85471897</v>
      </c>
      <c r="AY5" s="34">
        <f t="shared" si="10"/>
        <v>0.00005249611101</v>
      </c>
      <c r="BA5" s="7">
        <v>0.0</v>
      </c>
    </row>
    <row r="6">
      <c r="A6" s="17">
        <f t="shared" si="11"/>
        <v>4</v>
      </c>
      <c r="B6" s="28">
        <v>-23.5874</v>
      </c>
      <c r="C6" s="28">
        <v>-46.6576</v>
      </c>
      <c r="E6" s="3" t="s">
        <v>15</v>
      </c>
      <c r="F6" s="5"/>
      <c r="G6" s="5"/>
      <c r="H6" s="5"/>
      <c r="J6" s="40">
        <f t="shared" ref="J6:M6" si="16">($B6*E$3+$C6*E$4)+E$8</f>
        <v>46.750988</v>
      </c>
      <c r="K6" s="40">
        <f t="shared" si="16"/>
        <v>6.942565681</v>
      </c>
      <c r="L6" s="40">
        <f t="shared" si="16"/>
        <v>-22.45482673</v>
      </c>
      <c r="M6" s="40">
        <f t="shared" si="16"/>
        <v>9.468257555</v>
      </c>
      <c r="O6" s="41">
        <f t="shared" ref="O6:R6" si="17">max(0,J6)</f>
        <v>46.750988</v>
      </c>
      <c r="P6" s="41">
        <f t="shared" si="17"/>
        <v>6.942565681</v>
      </c>
      <c r="Q6" s="41">
        <f t="shared" si="17"/>
        <v>0</v>
      </c>
      <c r="R6" s="41">
        <f t="shared" si="17"/>
        <v>9.468257555</v>
      </c>
      <c r="T6" s="29">
        <v>-0.09154433</v>
      </c>
      <c r="U6" s="29">
        <v>0.6639406</v>
      </c>
      <c r="V6" s="29">
        <v>-0.61926514</v>
      </c>
      <c r="W6" s="29">
        <v>0.22259605</v>
      </c>
      <c r="X6" s="29">
        <v>0.07708794</v>
      </c>
      <c r="Y6" s="29">
        <v>-0.10790706</v>
      </c>
      <c r="Z6" s="29">
        <v>0.08836055</v>
      </c>
      <c r="AA6" s="29">
        <v>-0.2998767</v>
      </c>
      <c r="AC6" s="43">
        <f t="shared" ref="AC6:AJ6" si="18">($O6*T$3+$P6*T$4+$Q6*T$5+$R6*T$6)+T$9</f>
        <v>-21.28208468</v>
      </c>
      <c r="AD6" s="43">
        <f t="shared" si="18"/>
        <v>-3.918901983</v>
      </c>
      <c r="AE6" s="43">
        <f t="shared" si="18"/>
        <v>23.33468101</v>
      </c>
      <c r="AF6" s="43">
        <f t="shared" si="18"/>
        <v>5.665364278</v>
      </c>
      <c r="AG6" s="43">
        <f t="shared" si="18"/>
        <v>-6.412961838</v>
      </c>
      <c r="AH6" s="43">
        <f t="shared" si="18"/>
        <v>-25.83650007</v>
      </c>
      <c r="AI6" s="43">
        <f t="shared" si="18"/>
        <v>-25.84335033</v>
      </c>
      <c r="AJ6" s="44">
        <f t="shared" si="18"/>
        <v>-26.57975916</v>
      </c>
      <c r="AL6" s="37">
        <f t="shared" ref="AL6:AS6" si="19">max(0,AC6)</f>
        <v>0</v>
      </c>
      <c r="AM6" s="37">
        <f t="shared" si="19"/>
        <v>0</v>
      </c>
      <c r="AN6" s="37">
        <f t="shared" si="19"/>
        <v>23.33468101</v>
      </c>
      <c r="AO6" s="37">
        <f t="shared" si="19"/>
        <v>5.665364278</v>
      </c>
      <c r="AP6" s="37">
        <f t="shared" si="19"/>
        <v>0</v>
      </c>
      <c r="AQ6" s="37">
        <f t="shared" si="19"/>
        <v>0</v>
      </c>
      <c r="AR6" s="37">
        <f t="shared" si="19"/>
        <v>0</v>
      </c>
      <c r="AS6" s="37">
        <f t="shared" si="19"/>
        <v>0</v>
      </c>
      <c r="AU6" s="1">
        <v>-0.37876925</v>
      </c>
      <c r="AW6" s="33">
        <f t="shared" si="9"/>
        <v>-9.862747009</v>
      </c>
      <c r="AY6" s="34">
        <f t="shared" si="10"/>
        <v>0.0000520763792</v>
      </c>
      <c r="BA6" s="7">
        <v>0.0</v>
      </c>
    </row>
    <row r="7">
      <c r="A7" s="17">
        <f t="shared" si="11"/>
        <v>5</v>
      </c>
      <c r="B7" s="28">
        <v>-23.6231</v>
      </c>
      <c r="C7" s="28">
        <v>-46.6542</v>
      </c>
      <c r="E7" s="5"/>
      <c r="F7" s="5"/>
      <c r="G7" s="5"/>
      <c r="H7" s="5"/>
      <c r="J7" s="40">
        <f t="shared" ref="J7:M7" si="20">($B7*E$3+$C7*E$4)+E$8</f>
        <v>46.7479796</v>
      </c>
      <c r="K7" s="40">
        <f t="shared" si="20"/>
        <v>6.942064578</v>
      </c>
      <c r="L7" s="40">
        <f t="shared" si="20"/>
        <v>-22.43174527</v>
      </c>
      <c r="M7" s="40">
        <f t="shared" si="20"/>
        <v>9.431058715</v>
      </c>
      <c r="O7" s="41">
        <f t="shared" ref="O7:R7" si="21">max(0,J7)</f>
        <v>46.7479796</v>
      </c>
      <c r="P7" s="41">
        <f t="shared" si="21"/>
        <v>6.942064578</v>
      </c>
      <c r="Q7" s="41">
        <f t="shared" si="21"/>
        <v>0</v>
      </c>
      <c r="R7" s="41">
        <f t="shared" si="21"/>
        <v>9.431058715</v>
      </c>
      <c r="T7" s="51"/>
      <c r="U7" s="10"/>
      <c r="V7" s="10"/>
      <c r="W7" s="10"/>
      <c r="X7" s="10"/>
      <c r="Y7" s="10"/>
      <c r="Z7" s="10"/>
      <c r="AA7" s="10"/>
      <c r="AC7" s="43">
        <f t="shared" ref="AC7:AJ7" si="22">($O7*T$3+$P7*T$4+$Q7*T$5+$R7*T$6)+T$9</f>
        <v>-21.27736109</v>
      </c>
      <c r="AD7" s="43">
        <f t="shared" si="22"/>
        <v>-3.94295312</v>
      </c>
      <c r="AE7" s="43">
        <f t="shared" si="22"/>
        <v>23.35581069</v>
      </c>
      <c r="AF7" s="43">
        <f t="shared" si="22"/>
        <v>5.656864183</v>
      </c>
      <c r="AG7" s="43">
        <f t="shared" si="22"/>
        <v>-6.415341849</v>
      </c>
      <c r="AH7" s="43">
        <f t="shared" si="22"/>
        <v>-25.83092568</v>
      </c>
      <c r="AI7" s="43">
        <f t="shared" si="22"/>
        <v>-25.84489529</v>
      </c>
      <c r="AJ7" s="44">
        <f t="shared" si="22"/>
        <v>-26.56705198</v>
      </c>
      <c r="AL7" s="37">
        <f t="shared" ref="AL7:AS7" si="23">max(0,AC7)</f>
        <v>0</v>
      </c>
      <c r="AM7" s="37">
        <f t="shared" si="23"/>
        <v>0</v>
      </c>
      <c r="AN7" s="37">
        <f t="shared" si="23"/>
        <v>23.35581069</v>
      </c>
      <c r="AO7" s="37">
        <f t="shared" si="23"/>
        <v>5.656864183</v>
      </c>
      <c r="AP7" s="37">
        <f t="shared" si="23"/>
        <v>0</v>
      </c>
      <c r="AQ7" s="37">
        <f t="shared" si="23"/>
        <v>0</v>
      </c>
      <c r="AR7" s="37">
        <f t="shared" si="23"/>
        <v>0</v>
      </c>
      <c r="AS7" s="37">
        <f t="shared" si="23"/>
        <v>0</v>
      </c>
      <c r="AU7" s="1">
        <v>-0.6829597</v>
      </c>
      <c r="AW7" s="33">
        <f t="shared" si="9"/>
        <v>-9.866501608</v>
      </c>
      <c r="AY7" s="34">
        <f t="shared" si="10"/>
        <v>0.00005188122997</v>
      </c>
      <c r="BA7" s="7">
        <v>0.0</v>
      </c>
    </row>
    <row r="8">
      <c r="A8" s="17">
        <f t="shared" si="11"/>
        <v>6</v>
      </c>
      <c r="B8" s="28">
        <v>-23.5329</v>
      </c>
      <c r="C8" s="28">
        <v>-46.6395</v>
      </c>
      <c r="E8" s="53">
        <v>0.0011450261</v>
      </c>
      <c r="F8" s="53">
        <v>0.0012524625</v>
      </c>
      <c r="G8" s="53">
        <v>0.002050586</v>
      </c>
      <c r="H8" s="53">
        <v>2.6824638E-9</v>
      </c>
      <c r="J8" s="40">
        <f t="shared" ref="J8:M8" si="24">($B8*E$3+$C8*E$4)+E$8</f>
        <v>46.73236946</v>
      </c>
      <c r="K8" s="40">
        <f t="shared" si="24"/>
        <v>6.939867201</v>
      </c>
      <c r="L8" s="40">
        <f t="shared" si="24"/>
        <v>-22.47210519</v>
      </c>
      <c r="M8" s="40">
        <f t="shared" si="24"/>
        <v>9.508831356</v>
      </c>
      <c r="O8" s="41">
        <f t="shared" ref="O8:R8" si="25">max(0,J8)</f>
        <v>46.73236946</v>
      </c>
      <c r="P8" s="41">
        <f t="shared" si="25"/>
        <v>6.939867201</v>
      </c>
      <c r="Q8" s="41">
        <f t="shared" si="25"/>
        <v>0</v>
      </c>
      <c r="R8" s="41">
        <f t="shared" si="25"/>
        <v>9.508831356</v>
      </c>
      <c r="T8" s="8" t="s">
        <v>15</v>
      </c>
      <c r="U8" s="10"/>
      <c r="V8" s="10"/>
      <c r="W8" s="10"/>
      <c r="X8" s="10"/>
      <c r="Y8" s="10"/>
      <c r="Z8" s="10"/>
      <c r="AA8" s="10"/>
      <c r="AC8" s="43">
        <f t="shared" ref="AC8:AJ8" si="26">($O8*T$3+$P8*T$4+$Q8*T$5+$R8*T$6)+T$9</f>
        <v>-21.27767311</v>
      </c>
      <c r="AD8" s="43">
        <f t="shared" si="26"/>
        <v>-3.887887306</v>
      </c>
      <c r="AE8" s="43">
        <f t="shared" si="26"/>
        <v>23.29796212</v>
      </c>
      <c r="AF8" s="43">
        <f t="shared" si="26"/>
        <v>5.672967934</v>
      </c>
      <c r="AG8" s="43">
        <f t="shared" si="26"/>
        <v>-6.407023572</v>
      </c>
      <c r="AH8" s="43">
        <f t="shared" si="26"/>
        <v>-25.83095129</v>
      </c>
      <c r="AI8" s="43">
        <f t="shared" si="26"/>
        <v>-25.82917061</v>
      </c>
      <c r="AJ8" s="44">
        <f t="shared" si="26"/>
        <v>-26.58250152</v>
      </c>
      <c r="AL8" s="37">
        <f t="shared" ref="AL8:AS8" si="27">max(0,AC8)</f>
        <v>0</v>
      </c>
      <c r="AM8" s="37">
        <f t="shared" si="27"/>
        <v>0</v>
      </c>
      <c r="AN8" s="37">
        <f t="shared" si="27"/>
        <v>23.29796212</v>
      </c>
      <c r="AO8" s="37">
        <f t="shared" si="27"/>
        <v>5.672967934</v>
      </c>
      <c r="AP8" s="37">
        <f t="shared" si="27"/>
        <v>0</v>
      </c>
      <c r="AQ8" s="37">
        <f t="shared" si="27"/>
        <v>0</v>
      </c>
      <c r="AR8" s="37">
        <f t="shared" si="27"/>
        <v>0</v>
      </c>
      <c r="AS8" s="37">
        <f t="shared" si="27"/>
        <v>0</v>
      </c>
      <c r="AU8" s="1">
        <v>-0.63966006</v>
      </c>
      <c r="AW8" s="33">
        <f t="shared" si="9"/>
        <v>-9.85350741</v>
      </c>
      <c r="AY8" s="34">
        <f t="shared" si="10"/>
        <v>0.00005255974836</v>
      </c>
      <c r="BA8" s="7">
        <v>0.0</v>
      </c>
    </row>
    <row r="9">
      <c r="A9" s="17">
        <f t="shared" si="11"/>
        <v>7</v>
      </c>
      <c r="B9" s="28">
        <v>-23.5629</v>
      </c>
      <c r="C9" s="28">
        <v>-46.6544</v>
      </c>
      <c r="J9" s="40">
        <f t="shared" ref="J9:M9" si="28">($B9*E$3+$C9*E$4)+E$8</f>
        <v>46.74753809</v>
      </c>
      <c r="K9" s="40">
        <f t="shared" si="28"/>
        <v>6.942086727</v>
      </c>
      <c r="L9" s="40">
        <f t="shared" si="28"/>
        <v>-22.46640051</v>
      </c>
      <c r="M9" s="40">
        <f t="shared" si="28"/>
        <v>9.48993398</v>
      </c>
      <c r="O9" s="41">
        <f t="shared" ref="O9:R9" si="29">max(0,J9)</f>
        <v>46.74753809</v>
      </c>
      <c r="P9" s="41">
        <f t="shared" si="29"/>
        <v>6.942086727</v>
      </c>
      <c r="Q9" s="41">
        <f t="shared" si="29"/>
        <v>0</v>
      </c>
      <c r="R9" s="41">
        <f t="shared" si="29"/>
        <v>9.48993398</v>
      </c>
      <c r="T9" s="56">
        <v>0.0021600749</v>
      </c>
      <c r="U9" s="56">
        <v>-8.1604766E-4</v>
      </c>
      <c r="V9" s="56">
        <v>0.0035517651</v>
      </c>
      <c r="W9" s="56">
        <v>3.2081155E-4</v>
      </c>
      <c r="X9" s="56">
        <v>-2.5627516E-9</v>
      </c>
      <c r="Y9" s="56">
        <v>0.0</v>
      </c>
      <c r="Z9" s="56">
        <v>-1.2661708E-9</v>
      </c>
      <c r="AA9" s="57">
        <v>0.0</v>
      </c>
      <c r="AC9" s="43">
        <f t="shared" ref="AC9:AJ9" si="30">($O9*T$3+$P9*T$4+$Q9*T$5+$R9*T$6)+T$9</f>
        <v>-21.28256506</v>
      </c>
      <c r="AD9" s="43">
        <f t="shared" si="30"/>
        <v>-3.903750988</v>
      </c>
      <c r="AE9" s="43">
        <f t="shared" si="30"/>
        <v>23.31912014</v>
      </c>
      <c r="AF9" s="43">
        <f t="shared" si="30"/>
        <v>5.66992124</v>
      </c>
      <c r="AG9" s="43">
        <f t="shared" si="30"/>
        <v>-6.410780897</v>
      </c>
      <c r="AH9" s="43">
        <f t="shared" si="30"/>
        <v>-25.83698558</v>
      </c>
      <c r="AI9" s="43">
        <f t="shared" si="30"/>
        <v>-25.8394816</v>
      </c>
      <c r="AJ9" s="44">
        <f t="shared" si="30"/>
        <v>-26.58452252</v>
      </c>
      <c r="AL9" s="37">
        <f t="shared" ref="AL9:AS9" si="31">max(0,AC9)</f>
        <v>0</v>
      </c>
      <c r="AM9" s="37">
        <f t="shared" si="31"/>
        <v>0</v>
      </c>
      <c r="AN9" s="37">
        <f t="shared" si="31"/>
        <v>23.31912014</v>
      </c>
      <c r="AO9" s="37">
        <f t="shared" si="31"/>
        <v>5.66992124</v>
      </c>
      <c r="AP9" s="37">
        <f t="shared" si="31"/>
        <v>0</v>
      </c>
      <c r="AQ9" s="37">
        <f t="shared" si="31"/>
        <v>0</v>
      </c>
      <c r="AR9" s="37">
        <f t="shared" si="31"/>
        <v>0</v>
      </c>
      <c r="AS9" s="37">
        <f t="shared" si="31"/>
        <v>0</v>
      </c>
      <c r="AU9" s="1">
        <v>-0.31433272</v>
      </c>
      <c r="AW9" s="33">
        <f t="shared" si="9"/>
        <v>-9.859336945</v>
      </c>
      <c r="AY9" s="34">
        <f t="shared" si="10"/>
        <v>0.00005225425678</v>
      </c>
      <c r="BA9" s="7">
        <v>0.0</v>
      </c>
    </row>
    <row r="10">
      <c r="A10" s="17">
        <f t="shared" si="11"/>
        <v>8</v>
      </c>
      <c r="B10" s="28">
        <v>-23.5705</v>
      </c>
      <c r="C10" s="28">
        <v>-46.6452</v>
      </c>
      <c r="E10" s="58" t="s">
        <v>17</v>
      </c>
      <c r="F10" s="59"/>
      <c r="G10" s="59"/>
      <c r="H10" s="59"/>
      <c r="J10" s="40">
        <f t="shared" ref="J10:M10" si="32">($B10*E$3+$C10*E$4)+E$8</f>
        <v>46.73845031</v>
      </c>
      <c r="K10" s="40">
        <f t="shared" si="32"/>
        <v>6.940719576</v>
      </c>
      <c r="L10" s="40">
        <f t="shared" si="32"/>
        <v>-22.45495131</v>
      </c>
      <c r="M10" s="40">
        <f t="shared" si="32"/>
        <v>9.476113952</v>
      </c>
      <c r="O10" s="41">
        <f t="shared" ref="O10:R10" si="33">max(0,J10)</f>
        <v>46.73845031</v>
      </c>
      <c r="P10" s="41">
        <f t="shared" si="33"/>
        <v>6.940719576</v>
      </c>
      <c r="Q10" s="41">
        <f t="shared" si="33"/>
        <v>0</v>
      </c>
      <c r="R10" s="41">
        <f t="shared" si="33"/>
        <v>9.476113952</v>
      </c>
      <c r="AC10" s="43">
        <f t="shared" ref="AC10:AJ10" si="34">($O10*T$3+$P10*T$4+$Q10*T$5+$R10*T$6)+T$9</f>
        <v>-21.2773296</v>
      </c>
      <c r="AD10" s="43">
        <f t="shared" si="34"/>
        <v>-3.910946284</v>
      </c>
      <c r="AE10" s="43">
        <f t="shared" si="34"/>
        <v>23.32199444</v>
      </c>
      <c r="AF10" s="43">
        <f t="shared" si="34"/>
        <v>5.666156396</v>
      </c>
      <c r="AG10" s="43">
        <f t="shared" si="34"/>
        <v>-6.410448729</v>
      </c>
      <c r="AH10" s="43">
        <f t="shared" si="34"/>
        <v>-25.83068243</v>
      </c>
      <c r="AI10" s="43">
        <f t="shared" si="34"/>
        <v>-25.83550838</v>
      </c>
      <c r="AJ10" s="44">
        <f t="shared" si="34"/>
        <v>-26.57575547</v>
      </c>
      <c r="AL10" s="37">
        <f t="shared" ref="AL10:AS10" si="35">max(0,AC10)</f>
        <v>0</v>
      </c>
      <c r="AM10" s="37">
        <f t="shared" si="35"/>
        <v>0</v>
      </c>
      <c r="AN10" s="37">
        <f t="shared" si="35"/>
        <v>23.32199444</v>
      </c>
      <c r="AO10" s="37">
        <f t="shared" si="35"/>
        <v>5.666156396</v>
      </c>
      <c r="AP10" s="37">
        <f t="shared" si="35"/>
        <v>0</v>
      </c>
      <c r="AQ10" s="37">
        <f t="shared" si="35"/>
        <v>0</v>
      </c>
      <c r="AR10" s="37">
        <f t="shared" si="35"/>
        <v>0</v>
      </c>
      <c r="AS10" s="37">
        <f t="shared" si="35"/>
        <v>0</v>
      </c>
      <c r="AU10" s="1">
        <v>-0.74053854</v>
      </c>
      <c r="AW10" s="33">
        <f t="shared" si="9"/>
        <v>-9.858859642</v>
      </c>
      <c r="AY10" s="34">
        <f t="shared" si="10"/>
        <v>0.00005227920256</v>
      </c>
      <c r="BA10" s="7">
        <v>0.0</v>
      </c>
    </row>
    <row r="11">
      <c r="A11" s="17">
        <f t="shared" si="11"/>
        <v>9</v>
      </c>
      <c r="B11" s="28">
        <v>-23.5489</v>
      </c>
      <c r="C11" s="28">
        <v>-46.6388</v>
      </c>
      <c r="J11" s="40">
        <f t="shared" ref="J11:M11" si="36">($B11*E$3+$C11*E$4)+E$8</f>
        <v>46.73184217</v>
      </c>
      <c r="K11" s="40">
        <f t="shared" si="36"/>
        <v>6.939765123</v>
      </c>
      <c r="L11" s="40">
        <f t="shared" si="36"/>
        <v>-22.46239575</v>
      </c>
      <c r="M11" s="40">
        <f t="shared" si="36"/>
        <v>9.492733126</v>
      </c>
      <c r="O11" s="41">
        <f t="shared" ref="O11:R11" si="37">max(0,J11)</f>
        <v>46.73184217</v>
      </c>
      <c r="P11" s="41">
        <f t="shared" si="37"/>
        <v>6.939765123</v>
      </c>
      <c r="Q11" s="41">
        <f t="shared" si="37"/>
        <v>0</v>
      </c>
      <c r="R11" s="41">
        <f t="shared" si="37"/>
        <v>9.492733126</v>
      </c>
      <c r="AC11" s="43">
        <f t="shared" ref="AC11:AJ11" si="38">($O11*T$3+$P11*T$4+$Q11*T$5+$R11*T$6)+T$9</f>
        <v>-21.2759672</v>
      </c>
      <c r="AD11" s="43">
        <f t="shared" si="38"/>
        <v>-3.898464839</v>
      </c>
      <c r="AE11" s="43">
        <f t="shared" si="38"/>
        <v>23.30758983</v>
      </c>
      <c r="AF11" s="43">
        <f t="shared" si="38"/>
        <v>5.669348405</v>
      </c>
      <c r="AG11" s="43">
        <f t="shared" si="38"/>
        <v>-6.408171771</v>
      </c>
      <c r="AH11" s="43">
        <f t="shared" si="38"/>
        <v>-25.82895023</v>
      </c>
      <c r="AI11" s="43">
        <f t="shared" si="38"/>
        <v>-25.83028116</v>
      </c>
      <c r="AJ11" s="44">
        <f t="shared" si="38"/>
        <v>-26.57739559</v>
      </c>
      <c r="AL11" s="37">
        <f t="shared" ref="AL11:AS11" si="39">max(0,AC11)</f>
        <v>0</v>
      </c>
      <c r="AM11" s="37">
        <f t="shared" si="39"/>
        <v>0</v>
      </c>
      <c r="AN11" s="37">
        <f t="shared" si="39"/>
        <v>23.30758983</v>
      </c>
      <c r="AO11" s="37">
        <f t="shared" si="39"/>
        <v>5.669348405</v>
      </c>
      <c r="AP11" s="37">
        <f t="shared" si="39"/>
        <v>0</v>
      </c>
      <c r="AQ11" s="37">
        <f t="shared" si="39"/>
        <v>0</v>
      </c>
      <c r="AR11" s="37">
        <f t="shared" si="39"/>
        <v>0</v>
      </c>
      <c r="AS11" s="37">
        <f t="shared" si="39"/>
        <v>0</v>
      </c>
      <c r="AW11" s="33">
        <f t="shared" si="9"/>
        <v>-9.855314218</v>
      </c>
      <c r="AY11" s="34">
        <f t="shared" si="10"/>
        <v>0.00005246487371</v>
      </c>
      <c r="BA11" s="7">
        <v>0.0</v>
      </c>
    </row>
    <row r="12">
      <c r="A12" s="17">
        <f t="shared" si="11"/>
        <v>10</v>
      </c>
      <c r="B12" s="28">
        <v>-23.5558</v>
      </c>
      <c r="C12" s="28">
        <v>-46.6612</v>
      </c>
      <c r="J12" s="40">
        <f t="shared" ref="J12:M12" si="40">($B12*E$3+$C12*E$4)+E$8</f>
        <v>46.75423936</v>
      </c>
      <c r="K12" s="40">
        <f t="shared" si="40"/>
        <v>6.943097043</v>
      </c>
      <c r="L12" s="40">
        <f t="shared" si="40"/>
        <v>-22.47571266</v>
      </c>
      <c r="M12" s="40">
        <f t="shared" si="40"/>
        <v>9.501595337</v>
      </c>
      <c r="O12" s="41">
        <f t="shared" ref="O12:R12" si="41">max(0,J12)</f>
        <v>46.75423936</v>
      </c>
      <c r="P12" s="41">
        <f t="shared" si="41"/>
        <v>6.943097043</v>
      </c>
      <c r="Q12" s="41">
        <f t="shared" si="41"/>
        <v>0</v>
      </c>
      <c r="R12" s="41">
        <f t="shared" si="41"/>
        <v>9.501595337</v>
      </c>
      <c r="T12" s="58" t="s">
        <v>17</v>
      </c>
      <c r="U12" s="55"/>
      <c r="V12" s="55"/>
      <c r="W12" s="55"/>
      <c r="X12" s="55"/>
      <c r="Y12" s="55"/>
      <c r="Z12" s="55"/>
      <c r="AA12" s="55"/>
      <c r="AC12" s="43">
        <f t="shared" ref="AC12:AJ12" si="42">($O12*T$3+$P12*T$4+$Q12*T$5+$R12*T$6)+T$9</f>
        <v>-21.28656045</v>
      </c>
      <c r="AD12" s="43">
        <f t="shared" si="42"/>
        <v>-3.89746846</v>
      </c>
      <c r="AE12" s="43">
        <f t="shared" si="42"/>
        <v>23.31609111</v>
      </c>
      <c r="AF12" s="43">
        <f t="shared" si="42"/>
        <v>5.673024384</v>
      </c>
      <c r="AG12" s="43">
        <f t="shared" si="42"/>
        <v>-6.410913597</v>
      </c>
      <c r="AH12" s="43">
        <f t="shared" si="42"/>
        <v>-25.84179069</v>
      </c>
      <c r="AI12" s="43">
        <f t="shared" si="42"/>
        <v>-25.84228251</v>
      </c>
      <c r="AJ12" s="44">
        <f t="shared" si="42"/>
        <v>-26.59142925</v>
      </c>
      <c r="AL12" s="37">
        <f t="shared" ref="AL12:AS12" si="43">max(0,AC12)</f>
        <v>0</v>
      </c>
      <c r="AM12" s="37">
        <f t="shared" si="43"/>
        <v>0</v>
      </c>
      <c r="AN12" s="37">
        <f t="shared" si="43"/>
        <v>23.31609111</v>
      </c>
      <c r="AO12" s="37">
        <f t="shared" si="43"/>
        <v>5.673024384</v>
      </c>
      <c r="AP12" s="37">
        <f t="shared" si="43"/>
        <v>0</v>
      </c>
      <c r="AQ12" s="37">
        <f t="shared" si="43"/>
        <v>0</v>
      </c>
      <c r="AR12" s="37">
        <f t="shared" si="43"/>
        <v>0</v>
      </c>
      <c r="AS12" s="37">
        <f t="shared" si="43"/>
        <v>0</v>
      </c>
      <c r="AU12" s="11" t="s">
        <v>15</v>
      </c>
      <c r="AW12" s="33">
        <f t="shared" si="9"/>
        <v>-9.859512541</v>
      </c>
      <c r="AY12" s="34">
        <f t="shared" si="10"/>
        <v>0.00005224508242</v>
      </c>
      <c r="BA12" s="7">
        <v>0.0</v>
      </c>
    </row>
    <row r="13">
      <c r="A13" s="17">
        <f t="shared" si="11"/>
        <v>11</v>
      </c>
      <c r="B13" s="64">
        <v>35.6762</v>
      </c>
      <c r="C13" s="64">
        <v>139.6503</v>
      </c>
      <c r="J13" s="40">
        <f t="shared" ref="J13:M13" si="44">($B13*E$3+$C13*E$4)+E$8</f>
        <v>-139.55349</v>
      </c>
      <c r="K13" s="40">
        <f t="shared" si="44"/>
        <v>-20.77030387</v>
      </c>
      <c r="L13" s="40">
        <f t="shared" si="44"/>
        <v>87.23205151</v>
      </c>
      <c r="M13" s="40">
        <f t="shared" si="44"/>
        <v>-62.41301739</v>
      </c>
      <c r="O13" s="41">
        <f t="shared" ref="O13:R13" si="45">max(0,J13)</f>
        <v>0</v>
      </c>
      <c r="P13" s="41">
        <f t="shared" si="45"/>
        <v>0</v>
      </c>
      <c r="Q13" s="41">
        <f t="shared" si="45"/>
        <v>87.23205151</v>
      </c>
      <c r="R13" s="41">
        <f t="shared" si="45"/>
        <v>0</v>
      </c>
      <c r="AC13" s="43">
        <f t="shared" ref="AC13:AJ13" si="46">($O13*T$3+$P13*T$4+$Q13*T$5+$R13*T$6)+T$9</f>
        <v>39.96542654</v>
      </c>
      <c r="AD13" s="43">
        <f t="shared" si="46"/>
        <v>12.49962504</v>
      </c>
      <c r="AE13" s="43">
        <f t="shared" si="46"/>
        <v>34.87008935</v>
      </c>
      <c r="AF13" s="43">
        <f t="shared" si="46"/>
        <v>-38.99505545</v>
      </c>
      <c r="AG13" s="43">
        <f t="shared" si="46"/>
        <v>-44.09302195</v>
      </c>
      <c r="AH13" s="43">
        <f t="shared" si="46"/>
        <v>-34.06646702</v>
      </c>
      <c r="AI13" s="43">
        <f t="shared" si="46"/>
        <v>-30.42808968</v>
      </c>
      <c r="AJ13" s="44">
        <f t="shared" si="46"/>
        <v>-50.83707753</v>
      </c>
      <c r="AL13" s="37">
        <f t="shared" ref="AL13:AS13" si="47">max(0,AC13)</f>
        <v>39.96542654</v>
      </c>
      <c r="AM13" s="37">
        <f t="shared" si="47"/>
        <v>12.49962504</v>
      </c>
      <c r="AN13" s="37">
        <f t="shared" si="47"/>
        <v>34.87008935</v>
      </c>
      <c r="AO13" s="37">
        <f t="shared" si="47"/>
        <v>0</v>
      </c>
      <c r="AP13" s="37">
        <f t="shared" si="47"/>
        <v>0</v>
      </c>
      <c r="AQ13" s="37">
        <f t="shared" si="47"/>
        <v>0</v>
      </c>
      <c r="AR13" s="37">
        <f t="shared" si="47"/>
        <v>0</v>
      </c>
      <c r="AS13" s="37">
        <f t="shared" si="47"/>
        <v>0</v>
      </c>
      <c r="AU13" s="1">
        <v>-0.01491321</v>
      </c>
      <c r="AW13" s="33">
        <f t="shared" si="9"/>
        <v>-22.18167907</v>
      </c>
      <c r="AY13" s="34">
        <f t="shared" si="10"/>
        <v>0.0000000002326050724</v>
      </c>
      <c r="BA13" s="7">
        <v>1.0</v>
      </c>
    </row>
    <row r="14">
      <c r="A14" s="17">
        <f t="shared" si="11"/>
        <v>12</v>
      </c>
      <c r="B14" s="64">
        <v>35.6895</v>
      </c>
      <c r="C14" s="64">
        <v>139.6917</v>
      </c>
      <c r="J14" s="40">
        <f t="shared" ref="J14:M14" si="48">($B14*E$3+$C14*E$4)+E$8</f>
        <v>-139.5948907</v>
      </c>
      <c r="K14" s="40">
        <f t="shared" si="48"/>
        <v>-20.77646204</v>
      </c>
      <c r="L14" s="40">
        <f t="shared" si="48"/>
        <v>87.25635033</v>
      </c>
      <c r="M14" s="40">
        <f t="shared" si="48"/>
        <v>-62.42886264</v>
      </c>
      <c r="O14" s="41">
        <f t="shared" ref="O14:R14" si="49">max(0,J14)</f>
        <v>0</v>
      </c>
      <c r="P14" s="41">
        <f t="shared" si="49"/>
        <v>0</v>
      </c>
      <c r="Q14" s="41">
        <f t="shared" si="49"/>
        <v>87.25635033</v>
      </c>
      <c r="R14" s="41">
        <f t="shared" si="49"/>
        <v>0</v>
      </c>
      <c r="AC14" s="43">
        <f t="shared" ref="AC14:AJ14" si="50">($O14*T$3+$P14*T$4+$Q14*T$5+$R14*T$6)+T$9</f>
        <v>39.97655846</v>
      </c>
      <c r="AD14" s="43">
        <f t="shared" si="50"/>
        <v>12.50310708</v>
      </c>
      <c r="AE14" s="43">
        <f t="shared" si="50"/>
        <v>34.87980156</v>
      </c>
      <c r="AF14" s="43">
        <f t="shared" si="50"/>
        <v>-39.00591776</v>
      </c>
      <c r="AG14" s="43">
        <f t="shared" si="50"/>
        <v>-44.10530424</v>
      </c>
      <c r="AH14" s="43">
        <f t="shared" si="50"/>
        <v>-34.07595636</v>
      </c>
      <c r="AI14" s="43">
        <f t="shared" si="50"/>
        <v>-30.43656554</v>
      </c>
      <c r="AJ14" s="44">
        <f t="shared" si="50"/>
        <v>-50.85123839</v>
      </c>
      <c r="AL14" s="37">
        <f t="shared" ref="AL14:AS14" si="51">max(0,AC14)</f>
        <v>39.97655846</v>
      </c>
      <c r="AM14" s="37">
        <f t="shared" si="51"/>
        <v>12.50310708</v>
      </c>
      <c r="AN14" s="37">
        <f t="shared" si="51"/>
        <v>34.87980156</v>
      </c>
      <c r="AO14" s="37">
        <f t="shared" si="51"/>
        <v>0</v>
      </c>
      <c r="AP14" s="37">
        <f t="shared" si="51"/>
        <v>0</v>
      </c>
      <c r="AQ14" s="37">
        <f t="shared" si="51"/>
        <v>0</v>
      </c>
      <c r="AR14" s="37">
        <f t="shared" si="51"/>
        <v>0</v>
      </c>
      <c r="AS14" s="37">
        <f t="shared" si="51"/>
        <v>0</v>
      </c>
      <c r="AW14" s="33">
        <f t="shared" si="9"/>
        <v>-22.18785291</v>
      </c>
      <c r="AY14" s="34">
        <f t="shared" si="10"/>
        <v>0.0000000002311734299</v>
      </c>
      <c r="BA14" s="7">
        <v>1.0</v>
      </c>
    </row>
    <row r="15">
      <c r="A15" s="17">
        <f t="shared" si="11"/>
        <v>13</v>
      </c>
      <c r="B15" s="64">
        <v>35.6586</v>
      </c>
      <c r="C15" s="64">
        <v>139.7454</v>
      </c>
      <c r="J15" s="40">
        <f t="shared" ref="J15:M15" si="52">($B15*E$3+$C15*E$4)+E$8</f>
        <v>-139.6480789</v>
      </c>
      <c r="K15" s="40">
        <f t="shared" si="52"/>
        <v>-20.78444374</v>
      </c>
      <c r="L15" s="40">
        <f t="shared" si="52"/>
        <v>87.3154643</v>
      </c>
      <c r="M15" s="40">
        <f t="shared" si="52"/>
        <v>-62.49639602</v>
      </c>
      <c r="O15" s="41">
        <f t="shared" ref="O15:R15" si="53">max(0,J15)</f>
        <v>0</v>
      </c>
      <c r="P15" s="41">
        <f t="shared" si="53"/>
        <v>0</v>
      </c>
      <c r="Q15" s="41">
        <f t="shared" si="53"/>
        <v>87.3154643</v>
      </c>
      <c r="R15" s="41">
        <f t="shared" si="53"/>
        <v>0</v>
      </c>
      <c r="AC15" s="43">
        <f t="shared" ref="AC15:AJ15" si="54">($O15*T$3+$P15*T$4+$Q15*T$5+$R15*T$6)+T$9</f>
        <v>40.00364011</v>
      </c>
      <c r="AD15" s="43">
        <f t="shared" si="54"/>
        <v>12.51157818</v>
      </c>
      <c r="AE15" s="43">
        <f t="shared" si="54"/>
        <v>34.90342934</v>
      </c>
      <c r="AF15" s="43">
        <f t="shared" si="54"/>
        <v>-39.0323435</v>
      </c>
      <c r="AG15" s="43">
        <f t="shared" si="54"/>
        <v>-44.13518446</v>
      </c>
      <c r="AH15" s="43">
        <f t="shared" si="54"/>
        <v>-34.09904196</v>
      </c>
      <c r="AI15" s="43">
        <f t="shared" si="54"/>
        <v>-30.45718555</v>
      </c>
      <c r="AJ15" s="44">
        <f t="shared" si="54"/>
        <v>-50.88568882</v>
      </c>
      <c r="AL15" s="37">
        <f t="shared" ref="AL15:AS15" si="55">max(0,AC15)</f>
        <v>40.00364011</v>
      </c>
      <c r="AM15" s="37">
        <f t="shared" si="55"/>
        <v>12.51157818</v>
      </c>
      <c r="AN15" s="37">
        <f t="shared" si="55"/>
        <v>34.90342934</v>
      </c>
      <c r="AO15" s="37">
        <f t="shared" si="55"/>
        <v>0</v>
      </c>
      <c r="AP15" s="37">
        <f t="shared" si="55"/>
        <v>0</v>
      </c>
      <c r="AQ15" s="37">
        <f t="shared" si="55"/>
        <v>0</v>
      </c>
      <c r="AR15" s="37">
        <f t="shared" si="55"/>
        <v>0</v>
      </c>
      <c r="AS15" s="37">
        <f t="shared" si="55"/>
        <v>0</v>
      </c>
      <c r="AU15" s="58" t="s">
        <v>17</v>
      </c>
      <c r="AV15" s="55"/>
      <c r="AW15" s="33">
        <f t="shared" si="9"/>
        <v>-22.20287257</v>
      </c>
      <c r="AY15" s="34">
        <f t="shared" si="10"/>
        <v>0.0000000002277272281</v>
      </c>
      <c r="BA15" s="7">
        <v>1.0</v>
      </c>
    </row>
    <row r="16">
      <c r="A16" s="17">
        <f t="shared" si="11"/>
        <v>14</v>
      </c>
      <c r="B16" s="64">
        <v>35.7101</v>
      </c>
      <c r="C16" s="64">
        <v>139.8107</v>
      </c>
      <c r="J16" s="40">
        <f t="shared" ref="J16:M16" si="56">($B16*E$3+$C16*E$4)+E$8</f>
        <v>-139.7137048</v>
      </c>
      <c r="K16" s="40">
        <f t="shared" si="56"/>
        <v>-20.79416084</v>
      </c>
      <c r="L16" s="40">
        <f t="shared" si="56"/>
        <v>87.33629835</v>
      </c>
      <c r="M16" s="40">
        <f t="shared" si="56"/>
        <v>-62.49160892</v>
      </c>
      <c r="O16" s="41">
        <f t="shared" ref="O16:R16" si="57">max(0,J16)</f>
        <v>0</v>
      </c>
      <c r="P16" s="41">
        <f t="shared" si="57"/>
        <v>0</v>
      </c>
      <c r="Q16" s="41">
        <f t="shared" si="57"/>
        <v>87.33629835</v>
      </c>
      <c r="R16" s="41">
        <f t="shared" si="57"/>
        <v>0</v>
      </c>
      <c r="AC16" s="43">
        <f t="shared" ref="AC16:AJ16" si="58">($O16*T$3+$P16*T$4+$Q16*T$5+$R16*T$6)+T$9</f>
        <v>40.01318473</v>
      </c>
      <c r="AD16" s="43">
        <f t="shared" si="58"/>
        <v>12.51456372</v>
      </c>
      <c r="AE16" s="43">
        <f t="shared" si="58"/>
        <v>34.91175668</v>
      </c>
      <c r="AF16" s="43">
        <f t="shared" si="58"/>
        <v>-39.04165696</v>
      </c>
      <c r="AG16" s="43">
        <f t="shared" si="58"/>
        <v>-44.14571541</v>
      </c>
      <c r="AH16" s="43">
        <f t="shared" si="58"/>
        <v>-34.10717822</v>
      </c>
      <c r="AI16" s="43">
        <f t="shared" si="58"/>
        <v>-30.46445283</v>
      </c>
      <c r="AJ16" s="44">
        <f t="shared" si="58"/>
        <v>-50.89783049</v>
      </c>
      <c r="AL16" s="37">
        <f t="shared" ref="AL16:AS16" si="59">max(0,AC16)</f>
        <v>40.01318473</v>
      </c>
      <c r="AM16" s="37">
        <f t="shared" si="59"/>
        <v>12.51456372</v>
      </c>
      <c r="AN16" s="37">
        <f t="shared" si="59"/>
        <v>34.91175668</v>
      </c>
      <c r="AO16" s="37">
        <f t="shared" si="59"/>
        <v>0</v>
      </c>
      <c r="AP16" s="37">
        <f t="shared" si="59"/>
        <v>0</v>
      </c>
      <c r="AQ16" s="37">
        <f t="shared" si="59"/>
        <v>0</v>
      </c>
      <c r="AR16" s="37">
        <f t="shared" si="59"/>
        <v>0</v>
      </c>
      <c r="AS16" s="37">
        <f t="shared" si="59"/>
        <v>0</v>
      </c>
      <c r="AW16" s="33">
        <f t="shared" si="9"/>
        <v>-22.20816608</v>
      </c>
      <c r="AY16" s="34">
        <f t="shared" si="10"/>
        <v>0.0000000002265249367</v>
      </c>
      <c r="BA16" s="7">
        <v>1.0</v>
      </c>
    </row>
    <row r="17">
      <c r="A17" s="17">
        <f t="shared" si="11"/>
        <v>15</v>
      </c>
      <c r="B17" s="64">
        <v>35.6284</v>
      </c>
      <c r="C17" s="64">
        <v>139.7387</v>
      </c>
      <c r="J17" s="40">
        <f t="shared" ref="J17:M17" si="60">($B17*E$3+$C17*E$4)+E$8</f>
        <v>-139.6410802</v>
      </c>
      <c r="K17" s="40">
        <f t="shared" si="60"/>
        <v>-20.78344359</v>
      </c>
      <c r="L17" s="40">
        <f t="shared" si="60"/>
        <v>87.32760615</v>
      </c>
      <c r="M17" s="40">
        <f t="shared" si="60"/>
        <v>-62.52119721</v>
      </c>
      <c r="O17" s="41">
        <f t="shared" ref="O17:R17" si="61">max(0,J17)</f>
        <v>0</v>
      </c>
      <c r="P17" s="41">
        <f t="shared" si="61"/>
        <v>0</v>
      </c>
      <c r="Q17" s="41">
        <f t="shared" si="61"/>
        <v>87.32760615</v>
      </c>
      <c r="R17" s="41">
        <f t="shared" si="61"/>
        <v>0</v>
      </c>
      <c r="AC17" s="43">
        <f t="shared" ref="AC17:AJ17" si="62">($O17*T$3+$P17*T$4+$Q17*T$5+$R17*T$6)+T$9</f>
        <v>40.0092026</v>
      </c>
      <c r="AD17" s="43">
        <f t="shared" si="62"/>
        <v>12.51331811</v>
      </c>
      <c r="AE17" s="43">
        <f t="shared" si="62"/>
        <v>34.90828242</v>
      </c>
      <c r="AF17" s="43">
        <f t="shared" si="62"/>
        <v>-39.03777128</v>
      </c>
      <c r="AG17" s="43">
        <f t="shared" si="62"/>
        <v>-44.14132178</v>
      </c>
      <c r="AH17" s="43">
        <f t="shared" si="62"/>
        <v>-34.10378368</v>
      </c>
      <c r="AI17" s="43">
        <f t="shared" si="62"/>
        <v>-30.46142084</v>
      </c>
      <c r="AJ17" s="44">
        <f t="shared" si="62"/>
        <v>-50.89276485</v>
      </c>
      <c r="AL17" s="37">
        <f t="shared" ref="AL17:AS17" si="63">max(0,AC17)</f>
        <v>40.0092026</v>
      </c>
      <c r="AM17" s="37">
        <f t="shared" si="63"/>
        <v>12.51331811</v>
      </c>
      <c r="AN17" s="37">
        <f t="shared" si="63"/>
        <v>34.90828242</v>
      </c>
      <c r="AO17" s="37">
        <f t="shared" si="63"/>
        <v>0</v>
      </c>
      <c r="AP17" s="37">
        <f t="shared" si="63"/>
        <v>0</v>
      </c>
      <c r="AQ17" s="37">
        <f t="shared" si="63"/>
        <v>0</v>
      </c>
      <c r="AR17" s="37">
        <f t="shared" si="63"/>
        <v>0</v>
      </c>
      <c r="AS17" s="37">
        <f t="shared" si="63"/>
        <v>0</v>
      </c>
      <c r="AW17" s="33">
        <f t="shared" si="9"/>
        <v>-22.20595757</v>
      </c>
      <c r="AY17" s="34">
        <f t="shared" si="10"/>
        <v>0.0000000002270257728</v>
      </c>
      <c r="BA17" s="7">
        <v>1.0</v>
      </c>
    </row>
    <row r="18">
      <c r="A18" s="17">
        <f t="shared" si="11"/>
        <v>16</v>
      </c>
      <c r="B18" s="64">
        <v>35.6852</v>
      </c>
      <c r="C18" s="64">
        <v>139.7528</v>
      </c>
      <c r="J18" s="40">
        <f t="shared" ref="J18:M18" si="64">($B18*E$3+$C18*E$4)+E$8</f>
        <v>-139.6557369</v>
      </c>
      <c r="K18" s="40">
        <f t="shared" si="64"/>
        <v>-20.78554753</v>
      </c>
      <c r="L18" s="40">
        <f t="shared" si="64"/>
        <v>87.30592537</v>
      </c>
      <c r="M18" s="40">
        <f t="shared" si="64"/>
        <v>-62.47559462</v>
      </c>
      <c r="O18" s="41">
        <f t="shared" ref="O18:R18" si="65">max(0,J18)</f>
        <v>0</v>
      </c>
      <c r="P18" s="41">
        <f t="shared" si="65"/>
        <v>0</v>
      </c>
      <c r="Q18" s="41">
        <f t="shared" si="65"/>
        <v>87.30592537</v>
      </c>
      <c r="R18" s="41">
        <f t="shared" si="65"/>
        <v>0</v>
      </c>
      <c r="AC18" s="43">
        <f t="shared" ref="AC18:AJ18" si="66">($O18*T$3+$P18*T$4+$Q18*T$5+$R18*T$6)+T$9</f>
        <v>39.99927008</v>
      </c>
      <c r="AD18" s="43">
        <f t="shared" si="66"/>
        <v>12.51021124</v>
      </c>
      <c r="AE18" s="43">
        <f t="shared" si="66"/>
        <v>34.89961664</v>
      </c>
      <c r="AF18" s="43">
        <f t="shared" si="66"/>
        <v>-39.02807931</v>
      </c>
      <c r="AG18" s="43">
        <f t="shared" si="66"/>
        <v>-44.13036284</v>
      </c>
      <c r="AH18" s="43">
        <f t="shared" si="66"/>
        <v>-34.09531675</v>
      </c>
      <c r="AI18" s="43">
        <f t="shared" si="66"/>
        <v>-30.4538582</v>
      </c>
      <c r="AJ18" s="44">
        <f t="shared" si="66"/>
        <v>-50.88012973</v>
      </c>
      <c r="AL18" s="37">
        <f t="shared" ref="AL18:AS18" si="67">max(0,AC18)</f>
        <v>39.99927008</v>
      </c>
      <c r="AM18" s="37">
        <f t="shared" si="67"/>
        <v>12.51021124</v>
      </c>
      <c r="AN18" s="37">
        <f t="shared" si="67"/>
        <v>34.89961664</v>
      </c>
      <c r="AO18" s="37">
        <f t="shared" si="67"/>
        <v>0</v>
      </c>
      <c r="AP18" s="37">
        <f t="shared" si="67"/>
        <v>0</v>
      </c>
      <c r="AQ18" s="37">
        <f t="shared" si="67"/>
        <v>0</v>
      </c>
      <c r="AR18" s="37">
        <f t="shared" si="67"/>
        <v>0</v>
      </c>
      <c r="AS18" s="37">
        <f t="shared" si="67"/>
        <v>0</v>
      </c>
      <c r="AW18" s="33">
        <f t="shared" si="9"/>
        <v>-22.20044892</v>
      </c>
      <c r="AY18" s="34">
        <f t="shared" si="10"/>
        <v>0.0000000002282798285</v>
      </c>
      <c r="BA18" s="7">
        <v>1.0</v>
      </c>
    </row>
    <row r="19">
      <c r="A19" s="17">
        <f t="shared" si="11"/>
        <v>17</v>
      </c>
      <c r="B19" s="64">
        <v>35.6938</v>
      </c>
      <c r="C19" s="64">
        <v>139.7034</v>
      </c>
      <c r="J19" s="40">
        <f t="shared" ref="J19:M19" si="68">($B19*E$3+$C19*E$4)+E$8</f>
        <v>-139.6065966</v>
      </c>
      <c r="K19" s="40">
        <f t="shared" si="68"/>
        <v>-20.77820246</v>
      </c>
      <c r="L19" s="40">
        <f t="shared" si="68"/>
        <v>87.26290717</v>
      </c>
      <c r="M19" s="40">
        <f t="shared" si="68"/>
        <v>-62.43281251</v>
      </c>
      <c r="O19" s="41">
        <f t="shared" ref="O19:R19" si="69">max(0,J19)</f>
        <v>0</v>
      </c>
      <c r="P19" s="41">
        <f t="shared" si="69"/>
        <v>0</v>
      </c>
      <c r="Q19" s="41">
        <f t="shared" si="69"/>
        <v>87.26290717</v>
      </c>
      <c r="R19" s="41">
        <f t="shared" si="69"/>
        <v>0</v>
      </c>
      <c r="AC19" s="43">
        <f t="shared" ref="AC19:AJ19" si="70">($O19*T$3+$P19*T$4+$Q19*T$5+$R19*T$6)+T$9</f>
        <v>39.97956232</v>
      </c>
      <c r="AD19" s="43">
        <f t="shared" si="70"/>
        <v>12.50404668</v>
      </c>
      <c r="AE19" s="43">
        <f t="shared" si="70"/>
        <v>34.88242232</v>
      </c>
      <c r="AF19" s="43">
        <f t="shared" si="70"/>
        <v>-39.00884887</v>
      </c>
      <c r="AG19" s="43">
        <f t="shared" si="70"/>
        <v>-44.10861851</v>
      </c>
      <c r="AH19" s="43">
        <f t="shared" si="70"/>
        <v>-34.07851698</v>
      </c>
      <c r="AI19" s="43">
        <f t="shared" si="70"/>
        <v>-30.43885268</v>
      </c>
      <c r="AJ19" s="44">
        <f t="shared" si="70"/>
        <v>-50.85505959</v>
      </c>
      <c r="AL19" s="37">
        <f t="shared" ref="AL19:AS19" si="71">max(0,AC19)</f>
        <v>39.97956232</v>
      </c>
      <c r="AM19" s="37">
        <f t="shared" si="71"/>
        <v>12.50404668</v>
      </c>
      <c r="AN19" s="37">
        <f t="shared" si="71"/>
        <v>34.88242232</v>
      </c>
      <c r="AO19" s="37">
        <f t="shared" si="71"/>
        <v>0</v>
      </c>
      <c r="AP19" s="37">
        <f t="shared" si="71"/>
        <v>0</v>
      </c>
      <c r="AQ19" s="37">
        <f t="shared" si="71"/>
        <v>0</v>
      </c>
      <c r="AR19" s="37">
        <f t="shared" si="71"/>
        <v>0</v>
      </c>
      <c r="AS19" s="37">
        <f t="shared" si="71"/>
        <v>0</v>
      </c>
      <c r="AW19" s="33">
        <f t="shared" si="9"/>
        <v>-22.18951887</v>
      </c>
      <c r="AY19" s="34">
        <f t="shared" si="10"/>
        <v>0.0000000002307886252</v>
      </c>
      <c r="BA19" s="7">
        <v>1.0</v>
      </c>
    </row>
    <row r="20">
      <c r="A20" s="17">
        <f t="shared" si="11"/>
        <v>18</v>
      </c>
      <c r="B20" s="64">
        <v>35.6691</v>
      </c>
      <c r="C20" s="64">
        <v>139.7031</v>
      </c>
      <c r="J20" s="40">
        <f t="shared" ref="J20:M20" si="72">($B20*E$3+$C20*E$4)+E$8</f>
        <v>-139.6060347</v>
      </c>
      <c r="K20" s="40">
        <f t="shared" si="72"/>
        <v>-20.77815473</v>
      </c>
      <c r="L20" s="40">
        <f t="shared" si="72"/>
        <v>87.27683159</v>
      </c>
      <c r="M20" s="40">
        <f t="shared" si="72"/>
        <v>-62.45670299</v>
      </c>
      <c r="O20" s="41">
        <f t="shared" ref="O20:R20" si="73">max(0,J20)</f>
        <v>0</v>
      </c>
      <c r="P20" s="41">
        <f t="shared" si="73"/>
        <v>0</v>
      </c>
      <c r="Q20" s="41">
        <f t="shared" si="73"/>
        <v>87.27683159</v>
      </c>
      <c r="R20" s="41">
        <f t="shared" si="73"/>
        <v>0</v>
      </c>
      <c r="AC20" s="43">
        <f t="shared" ref="AC20:AJ20" si="74">($O20*T$3+$P20*T$4+$Q20*T$5+$R20*T$6)+T$9</f>
        <v>39.98594146</v>
      </c>
      <c r="AD20" s="43">
        <f t="shared" si="74"/>
        <v>12.50604207</v>
      </c>
      <c r="AE20" s="43">
        <f t="shared" si="74"/>
        <v>34.88798789</v>
      </c>
      <c r="AF20" s="43">
        <f t="shared" si="74"/>
        <v>-39.01507351</v>
      </c>
      <c r="AG20" s="43">
        <f t="shared" si="74"/>
        <v>-44.11565686</v>
      </c>
      <c r="AH20" s="43">
        <f t="shared" si="74"/>
        <v>-34.08395485</v>
      </c>
      <c r="AI20" s="43">
        <f t="shared" si="74"/>
        <v>-30.44370977</v>
      </c>
      <c r="AJ20" s="44">
        <f t="shared" si="74"/>
        <v>-50.86317446</v>
      </c>
      <c r="AL20" s="37">
        <f t="shared" ref="AL20:AS20" si="75">max(0,AC20)</f>
        <v>39.98594146</v>
      </c>
      <c r="AM20" s="37">
        <f t="shared" si="75"/>
        <v>12.50604207</v>
      </c>
      <c r="AN20" s="37">
        <f t="shared" si="75"/>
        <v>34.88798789</v>
      </c>
      <c r="AO20" s="37">
        <f t="shared" si="75"/>
        <v>0</v>
      </c>
      <c r="AP20" s="37">
        <f t="shared" si="75"/>
        <v>0</v>
      </c>
      <c r="AQ20" s="37">
        <f t="shared" si="75"/>
        <v>0</v>
      </c>
      <c r="AR20" s="37">
        <f t="shared" si="75"/>
        <v>0</v>
      </c>
      <c r="AS20" s="37">
        <f t="shared" si="75"/>
        <v>0</v>
      </c>
      <c r="AW20" s="33">
        <f t="shared" si="9"/>
        <v>-22.19305678</v>
      </c>
      <c r="AY20" s="34">
        <f t="shared" si="10"/>
        <v>0.0000000002299735572</v>
      </c>
      <c r="BA20" s="7">
        <v>1.0</v>
      </c>
    </row>
    <row r="21">
      <c r="A21" s="17">
        <f t="shared" si="11"/>
        <v>19</v>
      </c>
      <c r="B21" s="64">
        <v>35.7126</v>
      </c>
      <c r="C21" s="64">
        <v>139.7712</v>
      </c>
      <c r="J21" s="40">
        <f t="shared" ref="J21:M21" si="76">($B21*E$3+$C21*E$4)+E$8</f>
        <v>-139.6743659</v>
      </c>
      <c r="K21" s="40">
        <f t="shared" si="76"/>
        <v>-20.78828721</v>
      </c>
      <c r="L21" s="40">
        <f t="shared" si="76"/>
        <v>87.30440942</v>
      </c>
      <c r="M21" s="40">
        <f t="shared" si="76"/>
        <v>-62.46167064</v>
      </c>
      <c r="O21" s="41">
        <f t="shared" ref="O21:R21" si="77">max(0,J21)</f>
        <v>0</v>
      </c>
      <c r="P21" s="41">
        <f t="shared" si="77"/>
        <v>0</v>
      </c>
      <c r="Q21" s="41">
        <f t="shared" si="77"/>
        <v>87.30440942</v>
      </c>
      <c r="R21" s="41">
        <f t="shared" si="77"/>
        <v>0</v>
      </c>
      <c r="AC21" s="43">
        <f t="shared" ref="AC21:AJ21" si="78">($O21*T$3+$P21*T$4+$Q21*T$5+$R21*T$6)+T$9</f>
        <v>39.99857558</v>
      </c>
      <c r="AD21" s="43">
        <f t="shared" si="78"/>
        <v>12.509994</v>
      </c>
      <c r="AE21" s="43">
        <f t="shared" si="78"/>
        <v>34.89901071</v>
      </c>
      <c r="AF21" s="43">
        <f t="shared" si="78"/>
        <v>-39.02740163</v>
      </c>
      <c r="AG21" s="43">
        <f t="shared" si="78"/>
        <v>-44.12959657</v>
      </c>
      <c r="AH21" s="43">
        <f t="shared" si="78"/>
        <v>-34.09472473</v>
      </c>
      <c r="AI21" s="43">
        <f t="shared" si="78"/>
        <v>-30.45332941</v>
      </c>
      <c r="AJ21" s="44">
        <f t="shared" si="78"/>
        <v>-50.87924626</v>
      </c>
      <c r="AL21" s="37">
        <f t="shared" ref="AL21:AS21" si="79">max(0,AC21)</f>
        <v>39.99857558</v>
      </c>
      <c r="AM21" s="37">
        <f t="shared" si="79"/>
        <v>12.509994</v>
      </c>
      <c r="AN21" s="37">
        <f t="shared" si="79"/>
        <v>34.89901071</v>
      </c>
      <c r="AO21" s="37">
        <f t="shared" si="79"/>
        <v>0</v>
      </c>
      <c r="AP21" s="37">
        <f t="shared" si="79"/>
        <v>0</v>
      </c>
      <c r="AQ21" s="37">
        <f t="shared" si="79"/>
        <v>0</v>
      </c>
      <c r="AR21" s="37">
        <f t="shared" si="79"/>
        <v>0</v>
      </c>
      <c r="AS21" s="37">
        <f t="shared" si="79"/>
        <v>0</v>
      </c>
      <c r="AW21" s="33">
        <f t="shared" si="9"/>
        <v>-22.20006375</v>
      </c>
      <c r="AY21" s="34">
        <f t="shared" si="10"/>
        <v>0.0000000002283677726</v>
      </c>
      <c r="BA21" s="7">
        <v>1.0</v>
      </c>
    </row>
    <row r="22">
      <c r="A22" s="17">
        <f t="shared" si="11"/>
        <v>20</v>
      </c>
      <c r="B22" s="64">
        <v>35.6581</v>
      </c>
      <c r="C22" s="64">
        <v>139.7017</v>
      </c>
      <c r="J22" s="40">
        <f t="shared" ref="J22:M22" si="80">($B22*E$3+$C22*E$4)+E$8</f>
        <v>-139.6045224</v>
      </c>
      <c r="K22" s="40">
        <f t="shared" si="80"/>
        <v>-20.77794516</v>
      </c>
      <c r="L22" s="40">
        <f t="shared" si="80"/>
        <v>87.28205631</v>
      </c>
      <c r="M22" s="40">
        <f t="shared" si="80"/>
        <v>-62.46646084</v>
      </c>
      <c r="O22" s="41">
        <f t="shared" ref="O22:R22" si="81">max(0,J22)</f>
        <v>0</v>
      </c>
      <c r="P22" s="41">
        <f t="shared" si="81"/>
        <v>0</v>
      </c>
      <c r="Q22" s="41">
        <f t="shared" si="81"/>
        <v>87.28205631</v>
      </c>
      <c r="R22" s="41">
        <f t="shared" si="81"/>
        <v>0</v>
      </c>
      <c r="AC22" s="43">
        <f t="shared" ref="AC22:AJ22" si="82">($O22*T$3+$P22*T$4+$Q22*T$5+$R22*T$6)+T$9</f>
        <v>39.98833504</v>
      </c>
      <c r="AD22" s="43">
        <f t="shared" si="82"/>
        <v>12.50679078</v>
      </c>
      <c r="AE22" s="43">
        <f t="shared" si="82"/>
        <v>34.89007621</v>
      </c>
      <c r="AF22" s="43">
        <f t="shared" si="82"/>
        <v>-39.01740912</v>
      </c>
      <c r="AG22" s="43">
        <f t="shared" si="82"/>
        <v>-44.11829779</v>
      </c>
      <c r="AH22" s="43">
        <f t="shared" si="82"/>
        <v>-34.08599524</v>
      </c>
      <c r="AI22" s="43">
        <f t="shared" si="82"/>
        <v>-30.44553224</v>
      </c>
      <c r="AJ22" s="44">
        <f t="shared" si="82"/>
        <v>-50.86621932</v>
      </c>
      <c r="AL22" s="37">
        <f t="shared" ref="AL22:AS22" si="83">max(0,AC22)</f>
        <v>39.98833504</v>
      </c>
      <c r="AM22" s="37">
        <f t="shared" si="83"/>
        <v>12.50679078</v>
      </c>
      <c r="AN22" s="37">
        <f t="shared" si="83"/>
        <v>34.89007621</v>
      </c>
      <c r="AO22" s="37">
        <f t="shared" si="83"/>
        <v>0</v>
      </c>
      <c r="AP22" s="37">
        <f t="shared" si="83"/>
        <v>0</v>
      </c>
      <c r="AQ22" s="37">
        <f t="shared" si="83"/>
        <v>0</v>
      </c>
      <c r="AR22" s="37">
        <f t="shared" si="83"/>
        <v>0</v>
      </c>
      <c r="AS22" s="37">
        <f t="shared" si="83"/>
        <v>0</v>
      </c>
      <c r="AW22" s="33">
        <f t="shared" si="9"/>
        <v>-22.19438428</v>
      </c>
      <c r="AY22" s="34">
        <f t="shared" si="10"/>
        <v>0.0000000002296684711</v>
      </c>
      <c r="BA22" s="7">
        <v>1.0</v>
      </c>
    </row>
    <row r="23">
      <c r="B23" s="13"/>
      <c r="C23" s="13"/>
      <c r="AW23" s="16"/>
      <c r="BA23" s="7" t="s">
        <v>14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